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d.docs.live.net/aaf2eadf92b30664/Desktop/bike-sales-data-analysis-using-excel/"/>
    </mc:Choice>
  </mc:AlternateContent>
  <xr:revisionPtr revIDLastSave="380" documentId="8_{ABC04089-7769-4E43-9915-B025B1F01043}" xr6:coauthVersionLast="47" xr6:coauthVersionMax="47" xr10:uidLastSave="{66AC4BF0-0AFF-4ADF-B4D2-F4189117E5A8}"/>
  <bookViews>
    <workbookView xWindow="3516" yWindow="3360" windowWidth="17280" windowHeight="8880" activeTab="2"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sheet'!$A$1:$N$1001</definedName>
    <definedName name="Slicer_Education">#N/A</definedName>
    <definedName name="Slicer_Married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<sst xmlns="http://schemas.openxmlformats.org/spreadsheetml/2006/main" count="16274" uniqueCount="52">
  <si>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</si>
  <si>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</si>
  <si>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</si>
  <si>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</si>
  <si>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</si>
  <si>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</si>
  <si>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</si>
  <si>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</si>
  <si>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</si>
  <si>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</si>
  <si>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</si>
  <si>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</si>
  <si>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</si>
  <si>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</si>
  <si>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</si>
  <si>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</si>
  <si>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</si>
  <si>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</si>
  <si>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</si>
  <si>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</si>
  <si>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</si>
  <si>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</si>
  <si>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</si>
  <si>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</si>
  <si>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</si>
  <si>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</si>
  <si>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</si>
  <si>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</si>
  <si>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</si>
  <si>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</si>
  <si>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</si>
  <si>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</si>
  <si>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</si>
  <si>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</si>
  <si>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</si>
  <si>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</si>
  <si>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</si>
  <si>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</si>
  <si>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</si>
  <si>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</si>
  <si>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</si>
  <si>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Married Status</t>
  </si>
  <si>
    <t>Row Labels</t>
  </si>
  <si>
    <t>Grand Total</t>
  </si>
  <si>
    <t>Average of Income</t>
  </si>
  <si>
    <t>Column Labels</t>
  </si>
  <si>
    <t>Count of Purchased Bike</t>
  </si>
  <si>
    <t>More than 10 Miles</t>
  </si>
  <si>
    <t>Adolescent</t>
  </si>
  <si>
    <t>Middle age</t>
  </si>
  <si>
    <t>Old</t>
  </si>
  <si>
    <t>Bike Sales DahBoard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</si>
</sst>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 #,##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 fontId="0" fillId="0" borderId="0" xfId="0" pivotButton="1" applyNumberFormat="1"/>
    <xf numFmtId="1" fontId="0" fillId="0" borderId="0" xfId="0" applyNumberFormat="1"/>
    <xf numFmtId="1" fontId="0" fillId="0" borderId="0" xfId="0" applyNumberFormat="1" applyAlignment="1">
      <alignment horizontal="left"/>
    </xf>
    <xf numFmtId="0" fontId="19" fillId="33" borderId="0" xfId="0" applyFont="1" applyFill="1" applyAlignment="1">
      <alignment horizontal="center"/>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purchase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table'!$B$4:$B$5</c:f>
              <c:strCache>
                <c:ptCount val="1"/>
                <c:pt idx="0">
                  <c:v>No</c:v>
                </c:pt>
              </c:strCache>
            </c:strRef>
          </c:tx>
          <c:spPr>
            <a:solidFill>
              <a:schemeClr val="accent2"/>
            </a:solidFill>
            <a:ln>
              <a:noFill/>
            </a:ln>
            <a:effectLst/>
            <a:sp3d/>
          </c:spPr>
          <c:invertIfNegative val="0"/>
          <c:cat>
            <c:strRef>
              <c:f>'pivot table'!$A$6:$A$8</c:f>
              <c:strCache>
                <c:ptCount val="2"/>
                <c:pt idx="0">
                  <c:v>Female</c:v>
                </c:pt>
                <c:pt idx="1">
                  <c:v>Male</c:v>
                </c:pt>
              </c:strCache>
            </c:strRef>
          </c:cat>
          <c:val>
            <c:numRef>
              <c:f>'pivot table'!$B$6:$B$8</c:f>
              <c:numCache>
                <c:formatCode>0</c:formatCode>
                <c:ptCount val="2"/>
                <c:pt idx="0">
                  <c:v>53440</c:v>
                </c:pt>
                <c:pt idx="1">
                  <c:v>56208.178438661707</c:v>
                </c:pt>
              </c:numCache>
            </c:numRef>
          </c:val>
          <c:extLst>
            <c:ext xmlns:c16="http://schemas.microsoft.com/office/drawing/2014/chart" uri="{C3380CC4-5D6E-409C-BE32-E72D297353CC}">
              <c16:uniqueId val="{00000000-B892-4DD4-8515-C7B8112081CF}"/>
            </c:ext>
          </c:extLst>
        </c:ser>
        <c:ser>
          <c:idx val="1"/>
          <c:order val="1"/>
          <c:tx>
            <c:strRef>
              <c:f>'pivot table'!$C$4:$C$5</c:f>
              <c:strCache>
                <c:ptCount val="1"/>
                <c:pt idx="0">
                  <c:v>Yes</c:v>
                </c:pt>
              </c:strCache>
            </c:strRef>
          </c:tx>
          <c:spPr>
            <a:solidFill>
              <a:schemeClr val="accent4"/>
            </a:solidFill>
            <a:ln>
              <a:noFill/>
            </a:ln>
            <a:effectLst/>
            <a:sp3d/>
          </c:spPr>
          <c:invertIfNegative val="0"/>
          <c:cat>
            <c:strRef>
              <c:f>'pivot table'!$A$6:$A$8</c:f>
              <c:strCache>
                <c:ptCount val="2"/>
                <c:pt idx="0">
                  <c:v>Female</c:v>
                </c:pt>
                <c:pt idx="1">
                  <c:v>Male</c:v>
                </c:pt>
              </c:strCache>
            </c:strRef>
          </c:cat>
          <c:val>
            <c:numRef>
              <c:f>'pivot table'!$C$6:$C$8</c:f>
              <c:numCache>
                <c:formatCode>0</c:formatCode>
                <c:ptCount val="2"/>
                <c:pt idx="0">
                  <c:v>55774.058577405856</c:v>
                </c:pt>
                <c:pt idx="1">
                  <c:v>60123.966942148763</c:v>
                </c:pt>
              </c:numCache>
            </c:numRef>
          </c:val>
          <c:extLst>
            <c:ext xmlns:c16="http://schemas.microsoft.com/office/drawing/2014/chart" uri="{C3380CC4-5D6E-409C-BE32-E72D297353CC}">
              <c16:uniqueId val="{00000001-B892-4DD4-8515-C7B8112081CF}"/>
            </c:ext>
          </c:extLst>
        </c:ser>
        <c:dLbls>
          <c:showLegendKey val="0"/>
          <c:showVal val="0"/>
          <c:showCatName val="0"/>
          <c:showSerName val="0"/>
          <c:showPercent val="0"/>
          <c:showBubbleSize val="0"/>
        </c:dLbls>
        <c:gapWidth val="150"/>
        <c:shape val="box"/>
        <c:axId val="1462809439"/>
        <c:axId val="1461176303"/>
        <c:axId val="1031347775"/>
      </c:bar3DChart>
      <c:catAx>
        <c:axId val="14628094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1176303"/>
        <c:crosses val="autoZero"/>
        <c:auto val="1"/>
        <c:lblAlgn val="ctr"/>
        <c:lblOffset val="100"/>
        <c:noMultiLvlLbl val="0"/>
      </c:catAx>
      <c:valAx>
        <c:axId val="14611763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2809439"/>
        <c:crosses val="autoZero"/>
        <c:crossBetween val="between"/>
      </c:valAx>
      <c:serAx>
        <c:axId val="1031347775"/>
        <c:scaling>
          <c:orientation val="minMax"/>
        </c:scaling>
        <c:delete val="0"/>
        <c:axPos val="b"/>
        <c:title>
          <c:overlay val="0"/>
          <c:spPr>
            <a:noFill/>
            <a:ln>
              <a:noFill/>
            </a:ln>
            <a:effectLst/>
          </c:spPr>
          <c:txPr>
            <a:bodyPr rot="-540000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1176303"/>
        <c:crosses val="autoZero"/>
      </c:ser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table'!$B$24:$B$25</c:f>
              <c:strCache>
                <c:ptCount val="1"/>
                <c:pt idx="0">
                  <c:v>No</c:v>
                </c:pt>
              </c:strCache>
            </c:strRef>
          </c:tx>
          <c:spPr>
            <a:ln w="28575" cap="rnd">
              <a:solidFill>
                <a:schemeClr val="accent1"/>
              </a:solidFill>
              <a:round/>
            </a:ln>
            <a:effectLst/>
          </c:spPr>
          <c:marker>
            <c:symbol val="none"/>
          </c:marker>
          <c:cat>
            <c:strRef>
              <c:f>'pivot table'!$A$26:$A$31</c:f>
              <c:strCache>
                <c:ptCount val="5"/>
                <c:pt idx="0">
                  <c:v>0-1 Miles</c:v>
                </c:pt>
                <c:pt idx="1">
                  <c:v>1-2 Miles</c:v>
                </c:pt>
                <c:pt idx="2">
                  <c:v>2-5 Miles</c:v>
                </c:pt>
                <c:pt idx="3">
                  <c:v>5-10 Miles</c:v>
                </c:pt>
                <c:pt idx="4">
                  <c:v>More than 10 Miles</c:v>
                </c:pt>
              </c:strCache>
            </c:strRef>
          </c:cat>
          <c:val>
            <c:numRef>
              <c:f>'pivot table'!$B$26:$B$31</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3035-48D0-A992-E430F341ECAC}"/>
            </c:ext>
          </c:extLst>
        </c:ser>
        <c:ser>
          <c:idx val="1"/>
          <c:order val="1"/>
          <c:tx>
            <c:strRef>
              <c:f>'pivot table'!$C$24:$C$25</c:f>
              <c:strCache>
                <c:ptCount val="1"/>
                <c:pt idx="0">
                  <c:v>Yes</c:v>
                </c:pt>
              </c:strCache>
            </c:strRef>
          </c:tx>
          <c:spPr>
            <a:ln w="28575" cap="rnd">
              <a:solidFill>
                <a:schemeClr val="accent2"/>
              </a:solidFill>
              <a:round/>
            </a:ln>
            <a:effectLst/>
          </c:spPr>
          <c:marker>
            <c:symbol val="none"/>
          </c:marker>
          <c:cat>
            <c:strRef>
              <c:f>'pivot table'!$A$26:$A$31</c:f>
              <c:strCache>
                <c:ptCount val="5"/>
                <c:pt idx="0">
                  <c:v>0-1 Miles</c:v>
                </c:pt>
                <c:pt idx="1">
                  <c:v>1-2 Miles</c:v>
                </c:pt>
                <c:pt idx="2">
                  <c:v>2-5 Miles</c:v>
                </c:pt>
                <c:pt idx="3">
                  <c:v>5-10 Miles</c:v>
                </c:pt>
                <c:pt idx="4">
                  <c:v>More than 10 Miles</c:v>
                </c:pt>
              </c:strCache>
            </c:strRef>
          </c:cat>
          <c:val>
            <c:numRef>
              <c:f>'pivot table'!$C$26:$C$31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3035-48D0-A992-E430F341ECAC}"/>
            </c:ext>
          </c:extLst>
        </c:ser>
        <c:dLbls>
          <c:showLegendKey val="0"/>
          <c:showVal val="0"/>
          <c:showCatName val="0"/>
          <c:showSerName val="0"/>
          <c:showPercent val="0"/>
          <c:showBubbleSize val="0"/>
        </c:dLbls>
        <c:smooth val="0"/>
        <c:axId val="1592777951"/>
        <c:axId val="1672260303"/>
      </c:lineChart>
      <c:catAx>
        <c:axId val="15927779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260303"/>
        <c:crosses val="autoZero"/>
        <c:auto val="1"/>
        <c:lblAlgn val="ctr"/>
        <c:lblOffset val="100"/>
        <c:noMultiLvlLbl val="0"/>
      </c:catAx>
      <c:valAx>
        <c:axId val="1672260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2777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p>
        </c:rich>
      </c:tx>
      <c:layout>
        <c:manualLayout>
          <c:xMode val="edge"/>
          <c:yMode val="edge"/>
          <c:x val="0.47163888888888889"/>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'pivot table'!$B$43:$B$44</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190-4BF9-ADF2-B89D29485E1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190-4BF9-ADF2-B89D29485E1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190-4BF9-ADF2-B89D29485E1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table'!$A$45:$A$48</c:f>
              <c:strCache>
                <c:ptCount val="3"/>
                <c:pt idx="0">
                  <c:v>Adolescent</c:v>
                </c:pt>
                <c:pt idx="1">
                  <c:v>Middle age</c:v>
                </c:pt>
                <c:pt idx="2">
                  <c:v>Old</c:v>
                </c:pt>
              </c:strCache>
            </c:strRef>
          </c:cat>
          <c:val>
            <c:numRef>
              <c:f>'pivot table'!$B$45:$B$48</c:f>
              <c:numCache>
                <c:formatCode>General</c:formatCode>
                <c:ptCount val="3"/>
                <c:pt idx="0">
                  <c:v>301</c:v>
                </c:pt>
                <c:pt idx="1">
                  <c:v>88</c:v>
                </c:pt>
                <c:pt idx="2">
                  <c:v>130</c:v>
                </c:pt>
              </c:numCache>
            </c:numRef>
          </c:val>
          <c:extLst>
            <c:ext xmlns:c16="http://schemas.microsoft.com/office/drawing/2014/chart" uri="{C3380CC4-5D6E-409C-BE32-E72D297353CC}">
              <c16:uniqueId val="{00000000-6DBA-4888-B002-D0B0CC65FBAA}"/>
            </c:ext>
          </c:extLst>
        </c:ser>
        <c:ser>
          <c:idx val="1"/>
          <c:order val="1"/>
          <c:tx>
            <c:strRef>
              <c:f>'pivot table'!$C$43:$C$44</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F190-4BF9-ADF2-B89D29485E1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F190-4BF9-ADF2-B89D29485E1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F190-4BF9-ADF2-B89D29485E1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table'!$A$45:$A$48</c:f>
              <c:strCache>
                <c:ptCount val="3"/>
                <c:pt idx="0">
                  <c:v>Adolescent</c:v>
                </c:pt>
                <c:pt idx="1">
                  <c:v>Middle age</c:v>
                </c:pt>
                <c:pt idx="2">
                  <c:v>Old</c:v>
                </c:pt>
              </c:strCache>
            </c:strRef>
          </c:cat>
          <c:val>
            <c:numRef>
              <c:f>'pivot table'!$C$45:$C$48</c:f>
              <c:numCache>
                <c:formatCode>General</c:formatCode>
                <c:ptCount val="3"/>
                <c:pt idx="0">
                  <c:v>375</c:v>
                </c:pt>
                <c:pt idx="1">
                  <c:v>47</c:v>
                </c:pt>
                <c:pt idx="2">
                  <c:v>59</c:v>
                </c:pt>
              </c:numCache>
            </c:numRef>
          </c:val>
          <c:extLst>
            <c:ext xmlns:c16="http://schemas.microsoft.com/office/drawing/2014/chart" uri="{C3380CC4-5D6E-409C-BE32-E72D297353CC}">
              <c16:uniqueId val="{00000001-6DBA-4888-B002-D0B0CC65FBA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Dataset.xlsx]pivot table!PivotTable6</c:name>
    <c:fmtId val="3"/>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table'!$B$64:$B$65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table'!$A$66:$A$119</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table'!$B$66:$B$119</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1B70-4C9F-ABA3-91E6711B68AE}"/>
            </c:ext>
          </c:extLst>
        </c:ser>
        <c:ser>
          <c:idx val="1"/>
          <c:order val="1"/>
          <c:tx>
            <c:strRef>
              <c:f>'pivot table'!$C$64:$C$65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table'!$A$66:$A$119</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table'!$C$66:$C$119</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1B70-4C9F-ABA3-91E6711B68AE}"/>
            </c:ext>
          </c:extLst>
        </c:ser>
        <c:dLbls>
          <c:showLegendKey val="0"/>
          <c:showVal val="0"/>
          <c:showCatName val="0"/>
          <c:showSerName val="0"/>
          <c:showPercent val="0"/>
          <c:showBubbleSize val="0"/>
        </c:dLbls>
        <c:marker val="1"/>
        <c:smooth val="0"/>
        <c:axId val="1674383135"/>
        <c:axId val="941538799"/>
      </c:lineChart>
      <c:catAx>
        <c:axId val="1674383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538799"/>
        <c:crosses val="autoZero"/>
        <c:auto val="1"/>
        <c:lblAlgn val="ctr"/>
        <c:lblOffset val="100"/>
        <c:noMultiLvlLbl val="0"/>
      </c:catAx>
      <c:valAx>
        <c:axId val="941538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4383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Dataset.xlsx]pivot table!PivotTable1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purchase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a:sp3d/>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table'!$B$4:$B$5</c:f>
              <c:strCache>
                <c:ptCount val="1"/>
                <c:pt idx="0">
                  <c:v>No</c:v>
                </c:pt>
              </c:strCache>
            </c:strRef>
          </c:tx>
          <c:spPr>
            <a:solidFill>
              <a:schemeClr val="accent2"/>
            </a:solidFill>
            <a:ln>
              <a:noFill/>
            </a:ln>
            <a:effectLst/>
            <a:sp3d/>
          </c:spPr>
          <c:invertIfNegative val="0"/>
          <c:cat>
            <c:strRef>
              <c:f>'pivot table'!$A$6:$A$8</c:f>
              <c:strCache>
                <c:ptCount val="2"/>
                <c:pt idx="0">
                  <c:v>Female</c:v>
                </c:pt>
                <c:pt idx="1">
                  <c:v>Male</c:v>
                </c:pt>
              </c:strCache>
            </c:strRef>
          </c:cat>
          <c:val>
            <c:numRef>
              <c:f>'pivot table'!$B$6:$B$8</c:f>
              <c:numCache>
                <c:formatCode>0</c:formatCode>
                <c:ptCount val="2"/>
                <c:pt idx="0">
                  <c:v>53440</c:v>
                </c:pt>
                <c:pt idx="1">
                  <c:v>56208.178438661707</c:v>
                </c:pt>
              </c:numCache>
            </c:numRef>
          </c:val>
          <c:extLst>
            <c:ext xmlns:c16="http://schemas.microsoft.com/office/drawing/2014/chart" uri="{C3380CC4-5D6E-409C-BE32-E72D297353CC}">
              <c16:uniqueId val="{00000000-5360-4C9E-B97D-F1DC6CBB1FE7}"/>
            </c:ext>
          </c:extLst>
        </c:ser>
        <c:ser>
          <c:idx val="1"/>
          <c:order val="1"/>
          <c:tx>
            <c:strRef>
              <c:f>'pivot table'!$C$4:$C$5</c:f>
              <c:strCache>
                <c:ptCount val="1"/>
                <c:pt idx="0">
                  <c:v>Yes</c:v>
                </c:pt>
              </c:strCache>
            </c:strRef>
          </c:tx>
          <c:spPr>
            <a:solidFill>
              <a:schemeClr val="accent4"/>
            </a:solidFill>
            <a:ln>
              <a:noFill/>
            </a:ln>
            <a:effectLst/>
            <a:sp3d/>
          </c:spPr>
          <c:invertIfNegative val="0"/>
          <c:cat>
            <c:strRef>
              <c:f>'pivot table'!$A$6:$A$8</c:f>
              <c:strCache>
                <c:ptCount val="2"/>
                <c:pt idx="0">
                  <c:v>Female</c:v>
                </c:pt>
                <c:pt idx="1">
                  <c:v>Male</c:v>
                </c:pt>
              </c:strCache>
            </c:strRef>
          </c:cat>
          <c:val>
            <c:numRef>
              <c:f>'pivot table'!$C$6:$C$8</c:f>
              <c:numCache>
                <c:formatCode>0</c:formatCode>
                <c:ptCount val="2"/>
                <c:pt idx="0">
                  <c:v>55774.058577405856</c:v>
                </c:pt>
                <c:pt idx="1">
                  <c:v>60123.966942148763</c:v>
                </c:pt>
              </c:numCache>
            </c:numRef>
          </c:val>
          <c:extLst>
            <c:ext xmlns:c16="http://schemas.microsoft.com/office/drawing/2014/chart" uri="{C3380CC4-5D6E-409C-BE32-E72D297353CC}">
              <c16:uniqueId val="{00000001-5360-4C9E-B97D-F1DC6CBB1FE7}"/>
            </c:ext>
          </c:extLst>
        </c:ser>
        <c:dLbls>
          <c:showLegendKey val="0"/>
          <c:showVal val="0"/>
          <c:showCatName val="0"/>
          <c:showSerName val="0"/>
          <c:showPercent val="0"/>
          <c:showBubbleSize val="0"/>
        </c:dLbls>
        <c:gapWidth val="150"/>
        <c:shape val="box"/>
        <c:axId val="1462809439"/>
        <c:axId val="1461176303"/>
        <c:axId val="1031347775"/>
      </c:bar3DChart>
      <c:catAx>
        <c:axId val="14628094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1176303"/>
        <c:crosses val="autoZero"/>
        <c:auto val="1"/>
        <c:lblAlgn val="ctr"/>
        <c:lblOffset val="100"/>
        <c:noMultiLvlLbl val="0"/>
      </c:catAx>
      <c:valAx>
        <c:axId val="14611763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2809439"/>
        <c:crosses val="autoZero"/>
        <c:crossBetween val="between"/>
      </c:valAx>
      <c:serAx>
        <c:axId val="1031347775"/>
        <c:scaling>
          <c:orientation val="minMax"/>
        </c:scaling>
        <c:delete val="0"/>
        <c:axPos val="b"/>
        <c:title>
          <c:overlay val="0"/>
          <c:spPr>
            <a:noFill/>
            <a:ln>
              <a:noFill/>
            </a:ln>
            <a:effectLst/>
          </c:spPr>
          <c:txPr>
            <a:bodyPr rot="-540000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1176303"/>
        <c:crosses val="autoZero"/>
      </c:ser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Dataset.xlsx]pivot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table'!$B$24:$B$25</c:f>
              <c:strCache>
                <c:ptCount val="1"/>
                <c:pt idx="0">
                  <c:v>No</c:v>
                </c:pt>
              </c:strCache>
            </c:strRef>
          </c:tx>
          <c:spPr>
            <a:ln w="28575" cap="rnd">
              <a:solidFill>
                <a:schemeClr val="accent1"/>
              </a:solidFill>
              <a:round/>
            </a:ln>
            <a:effectLst/>
          </c:spPr>
          <c:marker>
            <c:symbol val="none"/>
          </c:marker>
          <c:cat>
            <c:strRef>
              <c:f>'pivot table'!$A$26:$A$31</c:f>
              <c:strCache>
                <c:ptCount val="5"/>
                <c:pt idx="0">
                  <c:v>0-1 Miles</c:v>
                </c:pt>
                <c:pt idx="1">
                  <c:v>1-2 Miles</c:v>
                </c:pt>
                <c:pt idx="2">
                  <c:v>2-5 Miles</c:v>
                </c:pt>
                <c:pt idx="3">
                  <c:v>5-10 Miles</c:v>
                </c:pt>
                <c:pt idx="4">
                  <c:v>More than 10 Miles</c:v>
                </c:pt>
              </c:strCache>
            </c:strRef>
          </c:cat>
          <c:val>
            <c:numRef>
              <c:f>'pivot table'!$B$26:$B$31</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EC38-4AF0-B402-E2D939AE146A}"/>
            </c:ext>
          </c:extLst>
        </c:ser>
        <c:ser>
          <c:idx val="1"/>
          <c:order val="1"/>
          <c:tx>
            <c:strRef>
              <c:f>'pivot table'!$C$24:$C$25</c:f>
              <c:strCache>
                <c:ptCount val="1"/>
                <c:pt idx="0">
                  <c:v>Yes</c:v>
                </c:pt>
              </c:strCache>
            </c:strRef>
          </c:tx>
          <c:spPr>
            <a:ln w="28575" cap="rnd">
              <a:solidFill>
                <a:schemeClr val="accent2"/>
              </a:solidFill>
              <a:round/>
            </a:ln>
            <a:effectLst/>
          </c:spPr>
          <c:marker>
            <c:symbol val="none"/>
          </c:marker>
          <c:cat>
            <c:strRef>
              <c:f>'pivot table'!$A$26:$A$31</c:f>
              <c:strCache>
                <c:ptCount val="5"/>
                <c:pt idx="0">
                  <c:v>0-1 Miles</c:v>
                </c:pt>
                <c:pt idx="1">
                  <c:v>1-2 Miles</c:v>
                </c:pt>
                <c:pt idx="2">
                  <c:v>2-5 Miles</c:v>
                </c:pt>
                <c:pt idx="3">
                  <c:v>5-10 Miles</c:v>
                </c:pt>
                <c:pt idx="4">
                  <c:v>More than 10 Miles</c:v>
                </c:pt>
              </c:strCache>
            </c:strRef>
          </c:cat>
          <c:val>
            <c:numRef>
              <c:f>'pivot table'!$C$26:$C$31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EC38-4AF0-B402-E2D939AE146A}"/>
            </c:ext>
          </c:extLst>
        </c:ser>
        <c:dLbls>
          <c:showLegendKey val="0"/>
          <c:showVal val="0"/>
          <c:showCatName val="0"/>
          <c:showSerName val="0"/>
          <c:showPercent val="0"/>
          <c:showBubbleSize val="0"/>
        </c:dLbls>
        <c:smooth val="0"/>
        <c:axId val="1592777951"/>
        <c:axId val="1672260303"/>
      </c:lineChart>
      <c:catAx>
        <c:axId val="15927779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260303"/>
        <c:crosses val="autoZero"/>
        <c:auto val="1"/>
        <c:lblAlgn val="ctr"/>
        <c:lblOffset val="100"/>
        <c:noMultiLvlLbl val="0"/>
      </c:catAx>
      <c:valAx>
        <c:axId val="1672260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2777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Dataset.xlsx]pivot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p>
        </c:rich>
      </c:tx>
      <c:layout>
        <c:manualLayout>
          <c:xMode val="edge"/>
          <c:yMode val="edge"/>
          <c:x val="0.45783624872977835"/>
          <c:y val="0.1484871427784813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manualLayout>
          <c:layoutTarget val="inner"/>
          <c:xMode val="edge"/>
          <c:yMode val="edge"/>
          <c:x val="0.22316965814055853"/>
          <c:y val="0.37220004405043777"/>
          <c:w val="0.28968580014454715"/>
          <c:h val="0.48922462052383314"/>
        </c:manualLayout>
      </c:layout>
      <c:pieChart>
        <c:varyColors val="1"/>
        <c:ser>
          <c:idx val="0"/>
          <c:order val="0"/>
          <c:tx>
            <c:strRef>
              <c:f>'pivot table'!$B$43:$B$44</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723-4C33-99F3-3129C44F32D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723-4C33-99F3-3129C44F32D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723-4C33-99F3-3129C44F32D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table'!$A$45:$A$48</c:f>
              <c:strCache>
                <c:ptCount val="3"/>
                <c:pt idx="0">
                  <c:v>Adolescent</c:v>
                </c:pt>
                <c:pt idx="1">
                  <c:v>Middle age</c:v>
                </c:pt>
                <c:pt idx="2">
                  <c:v>Old</c:v>
                </c:pt>
              </c:strCache>
            </c:strRef>
          </c:cat>
          <c:val>
            <c:numRef>
              <c:f>'pivot table'!$B$45:$B$48</c:f>
              <c:numCache>
                <c:formatCode>General</c:formatCode>
                <c:ptCount val="3"/>
                <c:pt idx="0">
                  <c:v>301</c:v>
                </c:pt>
                <c:pt idx="1">
                  <c:v>88</c:v>
                </c:pt>
                <c:pt idx="2">
                  <c:v>130</c:v>
                </c:pt>
              </c:numCache>
            </c:numRef>
          </c:val>
          <c:extLst>
            <c:ext xmlns:c16="http://schemas.microsoft.com/office/drawing/2014/chart" uri="{C3380CC4-5D6E-409C-BE32-E72D297353CC}">
              <c16:uniqueId val="{00000006-8723-4C33-99F3-3129C44F32DF}"/>
            </c:ext>
          </c:extLst>
        </c:ser>
        <c:ser>
          <c:idx val="1"/>
          <c:order val="1"/>
          <c:tx>
            <c:strRef>
              <c:f>'pivot table'!$C$43:$C$44</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8723-4C33-99F3-3129C44F32D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8723-4C33-99F3-3129C44F32D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8723-4C33-99F3-3129C44F32D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table'!$A$45:$A$48</c:f>
              <c:strCache>
                <c:ptCount val="3"/>
                <c:pt idx="0">
                  <c:v>Adolescent</c:v>
                </c:pt>
                <c:pt idx="1">
                  <c:v>Middle age</c:v>
                </c:pt>
                <c:pt idx="2">
                  <c:v>Old</c:v>
                </c:pt>
              </c:strCache>
            </c:strRef>
          </c:cat>
          <c:val>
            <c:numRef>
              <c:f>'pivot table'!$C$45:$C$48</c:f>
              <c:numCache>
                <c:formatCode>General</c:formatCode>
                <c:ptCount val="3"/>
                <c:pt idx="0">
                  <c:v>375</c:v>
                </c:pt>
                <c:pt idx="1">
                  <c:v>47</c:v>
                </c:pt>
                <c:pt idx="2">
                  <c:v>59</c:v>
                </c:pt>
              </c:numCache>
            </c:numRef>
          </c:val>
          <c:extLst>
            <c:ext xmlns:c16="http://schemas.microsoft.com/office/drawing/2014/chart" uri="{C3380CC4-5D6E-409C-BE32-E72D297353CC}">
              <c16:uniqueId val="{0000000D-8723-4C33-99F3-3129C44F32D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464820</xdr:colOff>
      <xdr:row>1</xdr:row>
      <xdr:rowOff>125730</xdr:rowOff>
    </xdr:from>
    <xdr:to>
      <xdr:col>12</xdr:col>
      <xdr:colOff>167640</xdr:colOff>
      <xdr:row>16</xdr:row>
      <xdr:rowOff>125730</xdr:rowOff>
    </xdr:to>
    <xdr:graphicFrame macro="">
      <xdr:nvGraphicFramePr>
        <xdr:cNvPr id="2" name="Chart 1">
          <a:extLst>
            <a:ext uri="{FF2B5EF4-FFF2-40B4-BE49-F238E27FC236}">
              <a16:creationId xmlns:a16="http://schemas.microsoft.com/office/drawing/2014/main" id="{A08C78EF-B0E0-49DE-6FCB-B814DFBDB8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152400</xdr:colOff>
      <xdr:row>22</xdr:row>
      <xdr:rowOff>118110</xdr:rowOff>
    </xdr:from>
    <xdr:to>
      <xdr:col>12</xdr:col>
      <xdr:colOff>457200</xdr:colOff>
      <xdr:row>37</xdr:row>
      <xdr:rowOff>118110</xdr:rowOff>
    </xdr:to>
    <xdr:graphicFrame macro="">
      <xdr:nvGraphicFramePr>
        <xdr:cNvPr id="3" name="Chart 2">
          <a:extLst>
            <a:ext uri="{FF2B5EF4-FFF2-40B4-BE49-F238E27FC236}">
              <a16:creationId xmlns:a16="http://schemas.microsoft.com/office/drawing/2014/main" id="{48214831-C9F0-EF29-75AF-A546428C88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182880</xdr:colOff>
      <xdr:row>41</xdr:row>
      <xdr:rowOff>171450</xdr:rowOff>
    </xdr:from>
    <xdr:to>
      <xdr:col>12</xdr:col>
      <xdr:colOff>487680</xdr:colOff>
      <xdr:row>56</xdr:row>
      <xdr:rowOff>171450</xdr:rowOff>
    </xdr:to>
    <xdr:graphicFrame macro="">
      <xdr:nvGraphicFramePr>
        <xdr:cNvPr id="4" name="Chart 3">
          <a:extLst>
            <a:ext uri="{FF2B5EF4-FFF2-40B4-BE49-F238E27FC236}">
              <a16:creationId xmlns:a16="http://schemas.microsoft.com/office/drawing/2014/main" id="{5FDBB1BC-4469-15C6-3A49-EEA27207AA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472440</xdr:colOff>
      <xdr:row>64</xdr:row>
      <xdr:rowOff>76200</xdr:rowOff>
    </xdr:from>
    <xdr:to>
      <xdr:col>13</xdr:col>
      <xdr:colOff>167640</xdr:colOff>
      <xdr:row>79</xdr:row>
      <xdr:rowOff>87630</xdr:rowOff>
    </xdr:to>
    <xdr:graphicFrame macro="">
      <xdr:nvGraphicFramePr>
        <xdr:cNvPr id="5" name="Chart 4">
          <a:extLst>
            <a:ext uri="{FF2B5EF4-FFF2-40B4-BE49-F238E27FC236}">
              <a16:creationId xmlns:a16="http://schemas.microsoft.com/office/drawing/2014/main" id="{3D946491-F255-E42F-AB93-51B1420CAB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548640</xdr:colOff>
      <xdr:row>4</xdr:row>
      <xdr:rowOff>175260</xdr:rowOff>
    </xdr:from>
    <xdr:to>
      <xdr:col>9</xdr:col>
      <xdr:colOff>472440</xdr:colOff>
      <xdr:row>18</xdr:row>
      <xdr:rowOff>68580</xdr:rowOff>
    </xdr:to>
    <xdr:graphicFrame macro="">
      <xdr:nvGraphicFramePr>
        <xdr:cNvPr id="3" name="Chart 2">
          <a:extLst>
            <a:ext uri="{FF2B5EF4-FFF2-40B4-BE49-F238E27FC236}">
              <a16:creationId xmlns:a16="http://schemas.microsoft.com/office/drawing/2014/main" id="{09FB3747-02C4-4ADD-99DA-A7FFB0A25F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548640</xdr:colOff>
      <xdr:row>18</xdr:row>
      <xdr:rowOff>76200</xdr:rowOff>
    </xdr:from>
    <xdr:to>
      <xdr:col>16</xdr:col>
      <xdr:colOff>7620</xdr:colOff>
      <xdr:row>31</xdr:row>
      <xdr:rowOff>7620</xdr:rowOff>
    </xdr:to>
    <xdr:graphicFrame macro="">
      <xdr:nvGraphicFramePr>
        <xdr:cNvPr id="5" name="Chart 4">
          <a:extLst>
            <a:ext uri="{FF2B5EF4-FFF2-40B4-BE49-F238E27FC236}">
              <a16:creationId xmlns:a16="http://schemas.microsoft.com/office/drawing/2014/main" id="{98D6454A-7597-4057-90C2-BCA8CBC34F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464820</xdr:colOff>
      <xdr:row>4</xdr:row>
      <xdr:rowOff>175260</xdr:rowOff>
    </xdr:from>
    <xdr:to>
      <xdr:col>16</xdr:col>
      <xdr:colOff>0</xdr:colOff>
      <xdr:row>18</xdr:row>
      <xdr:rowOff>68580</xdr:rowOff>
    </xdr:to>
    <xdr:graphicFrame macro="">
      <xdr:nvGraphicFramePr>
        <xdr:cNvPr id="6" name="Chart 5">
          <a:extLst>
            <a:ext uri="{FF2B5EF4-FFF2-40B4-BE49-F238E27FC236}">
              <a16:creationId xmlns:a16="http://schemas.microsoft.com/office/drawing/2014/main" id="{633C0457-2E46-4DE1-AF9A-55250EC902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xdr:row>
      <xdr:rowOff>15241</xdr:rowOff>
    </xdr:from>
    <xdr:to>
      <xdr:col>1</xdr:col>
      <xdr:colOff>556260</xdr:colOff>
      <xdr:row>10</xdr:row>
      <xdr:rowOff>7620</xdr:rowOff>
    </xdr:to>
    <mc:AlternateContent xmlns:mc="http://schemas.openxmlformats.org/markup-compatibility/2006" xmlns:a14="http://schemas.microsoft.com/office/drawing/2010/main">
      <mc:Choice Requires="a14">
        <xdr:graphicFrame macro="">
          <xdr:nvGraphicFramePr>
            <xdr:cNvPr id="7" name="Married Status">
              <a:extLst>
                <a:ext uri="{FF2B5EF4-FFF2-40B4-BE49-F238E27FC236}">
                  <a16:creationId xmlns:a16="http://schemas.microsoft.com/office/drawing/2014/main" id="{03CB9341-B9F3-88F6-7A3C-0B0C8A8C332E}"/>
                </a:ext>
              </a:extLst>
            </xdr:cNvPr>
            <xdr:cNvGraphicFramePr/>
          </xdr:nvGraphicFramePr>
          <xdr:xfrm>
            <a:off x="0" y="0"/>
            <a:ext cx="0" cy="0"/>
          </xdr:xfrm>
          <a:graphic>
            <a:graphicData uri="http://schemas.microsoft.com/office/drawing/2010/slicer">
              <sle:slicer xmlns:sle="http://schemas.microsoft.com/office/drawing/2010/slicer" name="Married Status"/>
            </a:graphicData>
          </a:graphic>
        </xdr:graphicFrame>
      </mc:Choice>
      <mc:Fallback xmlns="">
        <xdr:sp macro="" textlink="">
          <xdr:nvSpPr>
            <xdr:cNvPr id="0" name=""/>
            <xdr:cNvSpPr>
              <a:spLocks noTextEdit="1"/>
            </xdr:cNvSpPr>
          </xdr:nvSpPr>
          <xdr:spPr>
            <a:xfrm>
              <a:off x="0" y="929641"/>
              <a:ext cx="1165860" cy="9067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121920</xdr:rowOff>
    </xdr:from>
    <xdr:to>
      <xdr:col>1</xdr:col>
      <xdr:colOff>563880</xdr:colOff>
      <xdr:row>25</xdr:row>
      <xdr:rowOff>137160</xdr:rowOff>
    </xdr:to>
    <mc:AlternateContent xmlns:mc="http://schemas.openxmlformats.org/markup-compatibility/2006" xmlns:a14="http://schemas.microsoft.com/office/drawing/2010/main">
      <mc:Choice Requires="a14">
        <xdr:graphicFrame macro="">
          <xdr:nvGraphicFramePr>
            <xdr:cNvPr id="8" name="Education">
              <a:extLst>
                <a:ext uri="{FF2B5EF4-FFF2-40B4-BE49-F238E27FC236}">
                  <a16:creationId xmlns:a16="http://schemas.microsoft.com/office/drawing/2014/main" id="{7E627C2B-4D0A-B978-6574-38706BA7648F}"/>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048000"/>
              <a:ext cx="1173480" cy="1661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xdr:rowOff>
    </xdr:from>
    <xdr:to>
      <xdr:col>1</xdr:col>
      <xdr:colOff>556260</xdr:colOff>
      <xdr:row>16</xdr:row>
      <xdr:rowOff>121921</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3A05712D-09A0-39B5-7C28-3658BE6F658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828801"/>
              <a:ext cx="1165860" cy="1219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mamaheshwar Reddy" refreshedDate="46284.970523842596" createdVersion="8" refreshedVersion="8" minRefreshableVersion="3" recordCount="1000" xr:uid="{2DB67743-BE28-4B92-9E83-9B080ACC37FB}">
  <cacheSource type="worksheet">
    <worksheetSource ref="A1:N1001" sheet="working sheet"/>
  </cacheSource>
  <cacheFields count="14">
    <cacheField name="ID" numFmtId="0">
      <sharedItems containsSemiMixedTypes="0" containsString="0" containsNumber="1" containsInteger="1" minValue="11000" maxValue="29447"/>
    </cacheField>
    <cacheField name="Married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Adolescent"/>
        <s v="Old"/>
        <s v="Middle age"/>
      </sharedItems>
    </cacheField>
    <cacheField name="Purchased Bike" numFmtId="0">
      <sharedItems count="2">
        <s v="No"/>
        <s v="Yes"/>
      </sharedItems>
    </cacheField>
  </cacheFields>
  <extLst>
    <ext xmlns:x14="http://schemas.microsoft.com/office/spreadsheetml/2009/9/main" uri="{725AE2AE-9491-48be-B2B4-4EB974FC3084}">
      <x14:pivotCacheDefinition pivotCacheId="18741879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2"/>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2"/>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2"/>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2"/>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2"/>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2"/>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2"/>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2"/>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2"/>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2"/>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2"/>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2"/>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2"/>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2"/>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2"/>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2"/>
    <x v="1"/>
  </r>
  <r>
    <n v="29106"/>
    <x v="1"/>
    <x v="1"/>
    <n v="40000"/>
    <n v="0"/>
    <x v="2"/>
    <s v="Skilled Manual"/>
    <s v="No"/>
    <n v="2"/>
    <x v="3"/>
    <x v="2"/>
    <x v="23"/>
    <x v="2"/>
    <x v="1"/>
  </r>
  <r>
    <n v="26236"/>
    <x v="0"/>
    <x v="0"/>
    <n v="40000"/>
    <n v="3"/>
    <x v="1"/>
    <s v="Clerical"/>
    <s v="Yes"/>
    <n v="1"/>
    <x v="0"/>
    <x v="2"/>
    <x v="23"/>
    <x v="2"/>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2"/>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2"/>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2"/>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2"/>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2"/>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2"/>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2"/>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82363B4-BC1C-4506-A49A-7D4945E5592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3:D48"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0"/>
        <item x="2"/>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2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0"/>
          </reference>
        </references>
      </pivotArea>
    </chartFormat>
    <chartFormat chart="3" format="3">
      <pivotArea type="data" outline="0" fieldPosition="0">
        <references count="3">
          <reference field="4294967294" count="1" selected="0">
            <x v="0"/>
          </reference>
          <reference field="12" count="1" selected="0">
            <x v="0"/>
          </reference>
          <reference field="13" count="1" selected="0">
            <x v="0"/>
          </reference>
        </references>
      </pivotArea>
    </chartFormat>
    <chartFormat chart="3" format="4">
      <pivotArea type="data" outline="0" fieldPosition="0">
        <references count="3">
          <reference field="4294967294" count="1" selected="0">
            <x v="0"/>
          </reference>
          <reference field="12" count="1" selected="0">
            <x v="1"/>
          </reference>
          <reference field="13" count="1" selected="0">
            <x v="0"/>
          </reference>
        </references>
      </pivotArea>
    </chartFormat>
    <chartFormat chart="3" format="5">
      <pivotArea type="data" outline="0" fieldPosition="0">
        <references count="3">
          <reference field="4294967294" count="1" selected="0">
            <x v="0"/>
          </reference>
          <reference field="12" count="1" selected="0">
            <x v="2"/>
          </reference>
          <reference field="13" count="1" selected="0">
            <x v="0"/>
          </reference>
        </references>
      </pivotArea>
    </chartFormat>
    <chartFormat chart="3" format="6" series="1">
      <pivotArea type="data" outline="0" fieldPosition="0">
        <references count="2">
          <reference field="4294967294" count="1" selected="0">
            <x v="0"/>
          </reference>
          <reference field="13" count="1" selected="0">
            <x v="1"/>
          </reference>
        </references>
      </pivotArea>
    </chartFormat>
    <chartFormat chart="3" format="7">
      <pivotArea type="data" outline="0" fieldPosition="0">
        <references count="3">
          <reference field="4294967294" count="1" selected="0">
            <x v="0"/>
          </reference>
          <reference field="12" count="1" selected="0">
            <x v="0"/>
          </reference>
          <reference field="13" count="1" selected="0">
            <x v="1"/>
          </reference>
        </references>
      </pivotArea>
    </chartFormat>
    <chartFormat chart="3" format="8">
      <pivotArea type="data" outline="0" fieldPosition="0">
        <references count="3">
          <reference field="4294967294" count="1" selected="0">
            <x v="0"/>
          </reference>
          <reference field="12" count="1" selected="0">
            <x v="1"/>
          </reference>
          <reference field="13" count="1" selected="0">
            <x v="1"/>
          </reference>
        </references>
      </pivotArea>
    </chartFormat>
    <chartFormat chart="3" format="9">
      <pivotArea type="data" outline="0" fieldPosition="0">
        <references count="3">
          <reference field="4294967294" count="1" selected="0">
            <x v="0"/>
          </reference>
          <reference field="12" count="1" selected="0">
            <x v="2"/>
          </reference>
          <reference field="13" count="1" selected="0">
            <x v="1"/>
          </reference>
        </references>
      </pivotArea>
    </chartFormat>
    <chartFormat chart="4" format="10" series="1">
      <pivotArea type="data" outline="0" fieldPosition="0">
        <references count="2">
          <reference field="4294967294" count="1" selected="0">
            <x v="0"/>
          </reference>
          <reference field="13" count="1" selected="0">
            <x v="0"/>
          </reference>
        </references>
      </pivotArea>
    </chartFormat>
    <chartFormat chart="4" format="11">
      <pivotArea type="data" outline="0" fieldPosition="0">
        <references count="3">
          <reference field="4294967294" count="1" selected="0">
            <x v="0"/>
          </reference>
          <reference field="12" count="1" selected="0">
            <x v="0"/>
          </reference>
          <reference field="13" count="1" selected="0">
            <x v="0"/>
          </reference>
        </references>
      </pivotArea>
    </chartFormat>
    <chartFormat chart="4" format="12">
      <pivotArea type="data" outline="0" fieldPosition="0">
        <references count="3">
          <reference field="4294967294" count="1" selected="0">
            <x v="0"/>
          </reference>
          <reference field="12" count="1" selected="0">
            <x v="1"/>
          </reference>
          <reference field="13" count="1" selected="0">
            <x v="0"/>
          </reference>
        </references>
      </pivotArea>
    </chartFormat>
    <chartFormat chart="4" format="13">
      <pivotArea type="data" outline="0" fieldPosition="0">
        <references count="3">
          <reference field="4294967294" count="1" selected="0">
            <x v="0"/>
          </reference>
          <reference field="12" count="1" selected="0">
            <x v="2"/>
          </reference>
          <reference field="13" count="1" selected="0">
            <x v="0"/>
          </reference>
        </references>
      </pivotArea>
    </chartFormat>
    <chartFormat chart="4" format="14" series="1">
      <pivotArea type="data" outline="0" fieldPosition="0">
        <references count="2">
          <reference field="4294967294" count="1" selected="0">
            <x v="0"/>
          </reference>
          <reference field="13" count="1" selected="0">
            <x v="1"/>
          </reference>
        </references>
      </pivotArea>
    </chartFormat>
    <chartFormat chart="4" format="15">
      <pivotArea type="data" outline="0" fieldPosition="0">
        <references count="3">
          <reference field="4294967294" count="1" selected="0">
            <x v="0"/>
          </reference>
          <reference field="12" count="1" selected="0">
            <x v="0"/>
          </reference>
          <reference field="13" count="1" selected="0">
            <x v="1"/>
          </reference>
        </references>
      </pivotArea>
    </chartFormat>
    <chartFormat chart="4" format="16">
      <pivotArea type="data" outline="0" fieldPosition="0">
        <references count="3">
          <reference field="4294967294" count="1" selected="0">
            <x v="0"/>
          </reference>
          <reference field="12" count="1" selected="0">
            <x v="1"/>
          </reference>
          <reference field="13" count="1" selected="0">
            <x v="1"/>
          </reference>
        </references>
      </pivotArea>
    </chartFormat>
    <chartFormat chart="4" format="17">
      <pivotArea type="data" outline="0" fieldPosition="0">
        <references count="3">
          <reference field="4294967294" count="1" selected="0">
            <x v="0"/>
          </reference>
          <reference field="12" count="1" selected="0">
            <x v="2"/>
          </reference>
          <reference field="13" count="1" selected="0">
            <x v="1"/>
          </reference>
        </references>
      </pivotArea>
    </chartFormat>
    <chartFormat chart="0" format="2">
      <pivotArea type="data" outline="0" fieldPosition="0">
        <references count="3">
          <reference field="4294967294" count="1" selected="0">
            <x v="0"/>
          </reference>
          <reference field="12" count="1" selected="0">
            <x v="0"/>
          </reference>
          <reference field="13" count="1" selected="0">
            <x v="0"/>
          </reference>
        </references>
      </pivotArea>
    </chartFormat>
    <chartFormat chart="0" format="3">
      <pivotArea type="data" outline="0" fieldPosition="0">
        <references count="3">
          <reference field="4294967294" count="1" selected="0">
            <x v="0"/>
          </reference>
          <reference field="12" count="1" selected="0">
            <x v="1"/>
          </reference>
          <reference field="13" count="1" selected="0">
            <x v="0"/>
          </reference>
        </references>
      </pivotArea>
    </chartFormat>
    <chartFormat chart="0" format="4">
      <pivotArea type="data" outline="0" fieldPosition="0">
        <references count="3">
          <reference field="4294967294" count="1" selected="0">
            <x v="0"/>
          </reference>
          <reference field="12" count="1" selected="0">
            <x v="2"/>
          </reference>
          <reference field="13" count="1" selected="0">
            <x v="0"/>
          </reference>
        </references>
      </pivotArea>
    </chartFormat>
    <chartFormat chart="0" format="5">
      <pivotArea type="data" outline="0" fieldPosition="0">
        <references count="3">
          <reference field="4294967294" count="1" selected="0">
            <x v="0"/>
          </reference>
          <reference field="12" count="1" selected="0">
            <x v="0"/>
          </reference>
          <reference field="13" count="1" selected="0">
            <x v="1"/>
          </reference>
        </references>
      </pivotArea>
    </chartFormat>
    <chartFormat chart="0" format="6">
      <pivotArea type="data" outline="0" fieldPosition="0">
        <references count="3">
          <reference field="4294967294" count="1" selected="0">
            <x v="0"/>
          </reference>
          <reference field="12" count="1" selected="0">
            <x v="1"/>
          </reference>
          <reference field="13" count="1" selected="0">
            <x v="1"/>
          </reference>
        </references>
      </pivotArea>
    </chartFormat>
    <chartFormat chart="0" format="7">
      <pivotArea type="data" outline="0" fieldPosition="0">
        <references count="3">
          <reference field="4294967294" count="1" selected="0">
            <x v="0"/>
          </reference>
          <reference field="12" count="1" selected="0">
            <x v="2"/>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DE7EC0-901C-437D-B7C4-50C71A3D188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4:D31"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5A86100-C565-421C-B037-941D3A3FCC8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D8"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1">
    <format dxfId="0">
      <pivotArea type="all" dataOnly="0" outline="0"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37D3F98-C83C-4045-94CB-6E3E7D72E98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64:D119"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0"/>
        <item x="2"/>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ed_Status" xr10:uid="{22B8FE31-07C9-4C9E-A4AF-5ABA48553688}" sourceName="Married Status">
  <pivotTables>
    <pivotTable tabId="3" name="PivotTable1"/>
    <pivotTable tabId="3" name="PivotTable2"/>
    <pivotTable tabId="3" name="PivotTable3"/>
    <pivotTable tabId="3" name="PivotTable6"/>
  </pivotTables>
  <data>
    <tabular pivotCacheId="187418798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A2EC56A-E462-44F4-AFD3-A8BAE72FB84B}" sourceName="Education">
  <pivotTables>
    <pivotTable tabId="3" name="PivotTable1"/>
    <pivotTable tabId="3" name="PivotTable2"/>
    <pivotTable tabId="3" name="PivotTable3"/>
    <pivotTable tabId="3" name="PivotTable6"/>
  </pivotTables>
  <data>
    <tabular pivotCacheId="1874187985">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2401949-F69D-4A04-8C81-22576016DA09}" sourceName="Region">
  <pivotTables>
    <pivotTable tabId="3" name="PivotTable1"/>
    <pivotTable tabId="3" name="PivotTable2"/>
    <pivotTable tabId="3" name="PivotTable3"/>
    <pivotTable tabId="3" name="PivotTable6"/>
  </pivotTables>
  <data>
    <tabular pivotCacheId="187418798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ed Status" xr10:uid="{3B8BFB5E-EC2A-4795-AC02-42424B8B7163}" cache="Slicer_Married_Status" caption="Married Status" rowHeight="234950"/>
  <slicer name="Education" xr10:uid="{CFD60D1C-4604-4072-87BB-C02DBBD152B8}" cache="Slicer_Education" caption="Education" rowHeight="234950"/>
  <slicer name="Region" xr10:uid="{587BFB85-8B83-462F-B64A-3C7B1A55EB1B}"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F998" workbookViewId="0">
      <selection sqref="A1:M104857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EA80A-16D9-42A5-ACC2-189A719D28C1}">
  <dimension ref="A1:N1001"/>
  <sheetViews>
    <sheetView topLeftCell="D972" workbookViewId="0">
      <selection activeCell="J988" sqref="J988"/>
    </sheetView>
  </sheetViews>
  <sheetFormatPr defaultRowHeight="14.4" x14ac:dyDescent="0.3"/>
  <cols>
    <col min="4" max="4" width="15.88671875" style="3" customWidth="1"/>
    <col min="6" max="6" width="14" customWidth="1"/>
    <col min="7" max="7" width="16.88671875" customWidth="1"/>
    <col min="8" max="8" width="14.6640625" customWidth="1"/>
    <col min="10" max="10" width="19.44140625" customWidth="1"/>
    <col min="11" max="11" width="10.109375" customWidth="1"/>
    <col min="12" max="12" width="10.44140625" customWidth="1"/>
    <col min="13" max="13" width="16.33203125" customWidth="1"/>
    <col min="14" max="14" width="20.6640625" customWidth="1"/>
  </cols>
  <sheetData>
    <row r="1" spans="1:14" x14ac:dyDescent="0.3">
      <c r="A1" t="s">
        <v>0</v>
      </c>
      <c r="B1" t="s">
        <v>41</v>
      </c>
      <c r="C1" t="s">
        <v>2</v>
      </c>
      <c r="D1" s="3"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IF(L2&gt;54,"Old",IF(L2 &gt;31,"Adolescent",IF(L2&lt;=31,"Middle age","invalid")))</f>
        <v>Adolescent</v>
      </c>
      <c r="N2" t="s">
        <v>18</v>
      </c>
    </row>
    <row r="3" spans="1:14" x14ac:dyDescent="0.3">
      <c r="A3">
        <v>24107</v>
      </c>
      <c r="B3" t="s">
        <v>36</v>
      </c>
      <c r="C3" t="s">
        <v>39</v>
      </c>
      <c r="D3" s="3">
        <v>30000</v>
      </c>
      <c r="E3">
        <v>3</v>
      </c>
      <c r="F3" t="s">
        <v>19</v>
      </c>
      <c r="G3" t="s">
        <v>20</v>
      </c>
      <c r="H3" t="s">
        <v>15</v>
      </c>
      <c r="I3">
        <v>1</v>
      </c>
      <c r="J3" t="s">
        <v>16</v>
      </c>
      <c r="K3" t="s">
        <v>17</v>
      </c>
      <c r="L3">
        <v>43</v>
      </c>
      <c r="M3" t="str">
        <f t="shared" ref="M3:M66" si="0">IF(L3&gt;54,"Old",IF(L3 &gt;31,"Adolescent",IF(L3&lt;=31,"Middle age","invalid")))</f>
        <v>Adolescent</v>
      </c>
      <c r="N3" t="s">
        <v>18</v>
      </c>
    </row>
    <row r="4" spans="1:14" x14ac:dyDescent="0.3">
      <c r="A4">
        <v>14177</v>
      </c>
      <c r="B4" t="s">
        <v>36</v>
      </c>
      <c r="C4" t="s">
        <v>39</v>
      </c>
      <c r="D4" s="3">
        <v>80000</v>
      </c>
      <c r="E4">
        <v>5</v>
      </c>
      <c r="F4" t="s">
        <v>19</v>
      </c>
      <c r="G4" t="s">
        <v>21</v>
      </c>
      <c r="H4" t="s">
        <v>18</v>
      </c>
      <c r="I4">
        <v>2</v>
      </c>
      <c r="J4" t="s">
        <v>22</v>
      </c>
      <c r="K4" t="s">
        <v>17</v>
      </c>
      <c r="L4">
        <v>60</v>
      </c>
      <c r="M4" t="str">
        <f t="shared" si="0"/>
        <v>Old</v>
      </c>
      <c r="N4" t="s">
        <v>18</v>
      </c>
    </row>
    <row r="5" spans="1:14" x14ac:dyDescent="0.3">
      <c r="A5">
        <v>24381</v>
      </c>
      <c r="B5" t="s">
        <v>37</v>
      </c>
      <c r="C5" t="s">
        <v>39</v>
      </c>
      <c r="D5" s="3">
        <v>70000</v>
      </c>
      <c r="E5">
        <v>0</v>
      </c>
      <c r="F5" t="s">
        <v>13</v>
      </c>
      <c r="G5" t="s">
        <v>21</v>
      </c>
      <c r="H5" t="s">
        <v>15</v>
      </c>
      <c r="I5">
        <v>1</v>
      </c>
      <c r="J5" t="s">
        <v>23</v>
      </c>
      <c r="K5" t="s">
        <v>24</v>
      </c>
      <c r="L5">
        <v>41</v>
      </c>
      <c r="M5" t="str">
        <f t="shared" si="0"/>
        <v>Adolescent</v>
      </c>
      <c r="N5" t="s">
        <v>15</v>
      </c>
    </row>
    <row r="6" spans="1:14" x14ac:dyDescent="0.3">
      <c r="A6">
        <v>25597</v>
      </c>
      <c r="B6" t="s">
        <v>37</v>
      </c>
      <c r="C6" t="s">
        <v>39</v>
      </c>
      <c r="D6" s="3">
        <v>30000</v>
      </c>
      <c r="E6">
        <v>0</v>
      </c>
      <c r="F6" t="s">
        <v>13</v>
      </c>
      <c r="G6" t="s">
        <v>20</v>
      </c>
      <c r="H6" t="s">
        <v>18</v>
      </c>
      <c r="I6">
        <v>0</v>
      </c>
      <c r="J6" t="s">
        <v>16</v>
      </c>
      <c r="K6" t="s">
        <v>17</v>
      </c>
      <c r="L6">
        <v>36</v>
      </c>
      <c r="M6" t="str">
        <f t="shared" si="0"/>
        <v>Adolescent</v>
      </c>
      <c r="N6" t="s">
        <v>15</v>
      </c>
    </row>
    <row r="7" spans="1:14" x14ac:dyDescent="0.3">
      <c r="A7">
        <v>13507</v>
      </c>
      <c r="B7" t="s">
        <v>36</v>
      </c>
      <c r="C7" t="s">
        <v>38</v>
      </c>
      <c r="D7" s="3">
        <v>10000</v>
      </c>
      <c r="E7">
        <v>2</v>
      </c>
      <c r="F7" t="s">
        <v>19</v>
      </c>
      <c r="G7" t="s">
        <v>25</v>
      </c>
      <c r="H7" t="s">
        <v>15</v>
      </c>
      <c r="I7">
        <v>0</v>
      </c>
      <c r="J7" t="s">
        <v>26</v>
      </c>
      <c r="K7" t="s">
        <v>17</v>
      </c>
      <c r="L7">
        <v>50</v>
      </c>
      <c r="M7" t="str">
        <f t="shared" si="0"/>
        <v>Adolescent</v>
      </c>
      <c r="N7" t="s">
        <v>18</v>
      </c>
    </row>
    <row r="8" spans="1:14" x14ac:dyDescent="0.3">
      <c r="A8">
        <v>27974</v>
      </c>
      <c r="B8" t="s">
        <v>37</v>
      </c>
      <c r="C8" t="s">
        <v>39</v>
      </c>
      <c r="D8" s="3">
        <v>160000</v>
      </c>
      <c r="E8">
        <v>2</v>
      </c>
      <c r="F8" t="s">
        <v>27</v>
      </c>
      <c r="G8" t="s">
        <v>28</v>
      </c>
      <c r="H8" t="s">
        <v>15</v>
      </c>
      <c r="I8">
        <v>4</v>
      </c>
      <c r="J8" t="s">
        <v>16</v>
      </c>
      <c r="K8" t="s">
        <v>24</v>
      </c>
      <c r="L8">
        <v>33</v>
      </c>
      <c r="M8" t="str">
        <f t="shared" si="0"/>
        <v>Adolescent</v>
      </c>
      <c r="N8" t="s">
        <v>15</v>
      </c>
    </row>
    <row r="9" spans="1:14" x14ac:dyDescent="0.3">
      <c r="A9">
        <v>19364</v>
      </c>
      <c r="B9" t="s">
        <v>36</v>
      </c>
      <c r="C9" t="s">
        <v>39</v>
      </c>
      <c r="D9" s="3">
        <v>40000</v>
      </c>
      <c r="E9">
        <v>1</v>
      </c>
      <c r="F9" t="s">
        <v>13</v>
      </c>
      <c r="G9" t="s">
        <v>14</v>
      </c>
      <c r="H9" t="s">
        <v>15</v>
      </c>
      <c r="I9">
        <v>0</v>
      </c>
      <c r="J9" t="s">
        <v>16</v>
      </c>
      <c r="K9" t="s">
        <v>17</v>
      </c>
      <c r="L9">
        <v>43</v>
      </c>
      <c r="M9" t="str">
        <f t="shared" si="0"/>
        <v>Adolescent</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Adolescent</v>
      </c>
      <c r="N11" t="s">
        <v>15</v>
      </c>
    </row>
    <row r="12" spans="1:14" x14ac:dyDescent="0.3">
      <c r="A12">
        <v>22173</v>
      </c>
      <c r="B12" t="s">
        <v>36</v>
      </c>
      <c r="C12" t="s">
        <v>38</v>
      </c>
      <c r="D12" s="3">
        <v>30000</v>
      </c>
      <c r="E12">
        <v>3</v>
      </c>
      <c r="F12" t="s">
        <v>27</v>
      </c>
      <c r="G12" t="s">
        <v>14</v>
      </c>
      <c r="H12" t="s">
        <v>18</v>
      </c>
      <c r="I12">
        <v>2</v>
      </c>
      <c r="J12" t="s">
        <v>26</v>
      </c>
      <c r="K12" t="s">
        <v>24</v>
      </c>
      <c r="L12">
        <v>54</v>
      </c>
      <c r="M12" t="str">
        <f t="shared" si="0"/>
        <v>Adolescent</v>
      </c>
      <c r="N12" t="s">
        <v>15</v>
      </c>
    </row>
    <row r="13" spans="1:14" x14ac:dyDescent="0.3">
      <c r="A13">
        <v>12697</v>
      </c>
      <c r="B13" t="s">
        <v>37</v>
      </c>
      <c r="C13" t="s">
        <v>38</v>
      </c>
      <c r="D13" s="3">
        <v>90000</v>
      </c>
      <c r="E13">
        <v>0</v>
      </c>
      <c r="F13" t="s">
        <v>13</v>
      </c>
      <c r="G13" t="s">
        <v>21</v>
      </c>
      <c r="H13" t="s">
        <v>18</v>
      </c>
      <c r="I13">
        <v>4</v>
      </c>
      <c r="J13" t="s">
        <v>47</v>
      </c>
      <c r="K13" t="s">
        <v>24</v>
      </c>
      <c r="L13">
        <v>36</v>
      </c>
      <c r="M13" t="str">
        <f t="shared" si="0"/>
        <v>Adolescent</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Adolescent</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Adolescent</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Adolescent</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Adolescent</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Adolescent</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Adolescent</v>
      </c>
      <c r="N22" t="s">
        <v>15</v>
      </c>
    </row>
    <row r="23" spans="1:14" x14ac:dyDescent="0.3">
      <c r="A23">
        <v>21564</v>
      </c>
      <c r="B23" t="s">
        <v>37</v>
      </c>
      <c r="C23" t="s">
        <v>38</v>
      </c>
      <c r="D23" s="3">
        <v>80000</v>
      </c>
      <c r="E23">
        <v>0</v>
      </c>
      <c r="F23" t="s">
        <v>13</v>
      </c>
      <c r="G23" t="s">
        <v>21</v>
      </c>
      <c r="H23" t="s">
        <v>15</v>
      </c>
      <c r="I23">
        <v>4</v>
      </c>
      <c r="J23" t="s">
        <v>47</v>
      </c>
      <c r="K23" t="s">
        <v>24</v>
      </c>
      <c r="L23">
        <v>35</v>
      </c>
      <c r="M23" t="str">
        <f t="shared" si="0"/>
        <v>Adolescent</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Adolescent</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Adolescent</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Middle age</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Adolescent</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Adolescent</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Adolescent</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Middle age</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Adolescent</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Adolescent</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Adolescent</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Middle age</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Middle age</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Adolescent</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Adolescent</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Adolescent</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Adolescent</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Adolescent</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Adolescent</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Adolescent</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Adolescent</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Adolescent</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Middle age</v>
      </c>
      <c r="N52" t="s">
        <v>18</v>
      </c>
    </row>
    <row r="53" spans="1:14" x14ac:dyDescent="0.3">
      <c r="A53">
        <v>20619</v>
      </c>
      <c r="B53" t="s">
        <v>37</v>
      </c>
      <c r="C53" t="s">
        <v>39</v>
      </c>
      <c r="D53" s="3">
        <v>80000</v>
      </c>
      <c r="E53">
        <v>0</v>
      </c>
      <c r="F53" t="s">
        <v>13</v>
      </c>
      <c r="G53" t="s">
        <v>21</v>
      </c>
      <c r="H53" t="s">
        <v>18</v>
      </c>
      <c r="I53">
        <v>4</v>
      </c>
      <c r="J53" t="s">
        <v>47</v>
      </c>
      <c r="K53" t="s">
        <v>24</v>
      </c>
      <c r="L53">
        <v>35</v>
      </c>
      <c r="M53" t="str">
        <f t="shared" si="0"/>
        <v>Adolescent</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Adolescent</v>
      </c>
      <c r="N56" t="s">
        <v>18</v>
      </c>
    </row>
    <row r="57" spans="1:14" x14ac:dyDescent="0.3">
      <c r="A57">
        <v>28906</v>
      </c>
      <c r="B57" t="s">
        <v>36</v>
      </c>
      <c r="C57" t="s">
        <v>39</v>
      </c>
      <c r="D57" s="3">
        <v>80000</v>
      </c>
      <c r="E57">
        <v>4</v>
      </c>
      <c r="F57" t="s">
        <v>27</v>
      </c>
      <c r="G57" t="s">
        <v>21</v>
      </c>
      <c r="H57" t="s">
        <v>15</v>
      </c>
      <c r="I57">
        <v>2</v>
      </c>
      <c r="J57" t="s">
        <v>47</v>
      </c>
      <c r="K57" t="s">
        <v>17</v>
      </c>
      <c r="L57">
        <v>54</v>
      </c>
      <c r="M57" t="str">
        <f t="shared" si="0"/>
        <v>Adolescent</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Adolescent</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Adolescent</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Adolescent</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Adolescent</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Adolescent</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Adolescent</v>
      </c>
      <c r="N64" t="s">
        <v>15</v>
      </c>
    </row>
    <row r="65" spans="1:14" x14ac:dyDescent="0.3">
      <c r="A65">
        <v>16185</v>
      </c>
      <c r="B65" t="s">
        <v>37</v>
      </c>
      <c r="C65" t="s">
        <v>39</v>
      </c>
      <c r="D65" s="3">
        <v>60000</v>
      </c>
      <c r="E65">
        <v>4</v>
      </c>
      <c r="F65" t="s">
        <v>13</v>
      </c>
      <c r="G65" t="s">
        <v>21</v>
      </c>
      <c r="H65" t="s">
        <v>15</v>
      </c>
      <c r="I65">
        <v>3</v>
      </c>
      <c r="J65" t="s">
        <v>47</v>
      </c>
      <c r="K65" t="s">
        <v>24</v>
      </c>
      <c r="L65">
        <v>41</v>
      </c>
      <c r="M65" t="str">
        <f t="shared" si="0"/>
        <v>Adolescent</v>
      </c>
      <c r="N65" t="s">
        <v>18</v>
      </c>
    </row>
    <row r="66" spans="1:14" x14ac:dyDescent="0.3">
      <c r="A66">
        <v>14927</v>
      </c>
      <c r="B66" t="s">
        <v>36</v>
      </c>
      <c r="C66" t="s">
        <v>38</v>
      </c>
      <c r="D66" s="3">
        <v>30000</v>
      </c>
      <c r="E66">
        <v>1</v>
      </c>
      <c r="F66" t="s">
        <v>13</v>
      </c>
      <c r="G66" t="s">
        <v>20</v>
      </c>
      <c r="H66" t="s">
        <v>15</v>
      </c>
      <c r="I66">
        <v>0</v>
      </c>
      <c r="J66" t="s">
        <v>16</v>
      </c>
      <c r="K66" t="s">
        <v>17</v>
      </c>
      <c r="L66">
        <v>37</v>
      </c>
      <c r="M66" t="str">
        <f t="shared" si="0"/>
        <v>Adolescent</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IF(L67&gt;54,"Old",IF(L67 &gt;31,"Adolescent",IF(L67&lt;=31,"Middle age","invalid")))</f>
        <v>Old</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Adolescent</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Adolescent</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Adolescent</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Middle age</v>
      </c>
      <c r="N71" t="s">
        <v>18</v>
      </c>
    </row>
    <row r="72" spans="1:14" x14ac:dyDescent="0.3">
      <c r="A72">
        <v>14238</v>
      </c>
      <c r="B72" t="s">
        <v>36</v>
      </c>
      <c r="C72" t="s">
        <v>39</v>
      </c>
      <c r="D72" s="3">
        <v>120000</v>
      </c>
      <c r="E72">
        <v>0</v>
      </c>
      <c r="F72" t="s">
        <v>29</v>
      </c>
      <c r="G72" t="s">
        <v>21</v>
      </c>
      <c r="H72" t="s">
        <v>15</v>
      </c>
      <c r="I72">
        <v>4</v>
      </c>
      <c r="J72" t="s">
        <v>47</v>
      </c>
      <c r="K72" t="s">
        <v>24</v>
      </c>
      <c r="L72">
        <v>36</v>
      </c>
      <c r="M72" t="str">
        <f t="shared" si="1"/>
        <v>Adolescent</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Adolescent</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Adolescent</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Adolescent</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Middle age</v>
      </c>
      <c r="N78" t="s">
        <v>18</v>
      </c>
    </row>
    <row r="79" spans="1:14" x14ac:dyDescent="0.3">
      <c r="A79">
        <v>27969</v>
      </c>
      <c r="B79" t="s">
        <v>36</v>
      </c>
      <c r="C79" t="s">
        <v>39</v>
      </c>
      <c r="D79" s="3">
        <v>80000</v>
      </c>
      <c r="E79">
        <v>0</v>
      </c>
      <c r="F79" t="s">
        <v>13</v>
      </c>
      <c r="G79" t="s">
        <v>21</v>
      </c>
      <c r="H79" t="s">
        <v>15</v>
      </c>
      <c r="I79">
        <v>2</v>
      </c>
      <c r="J79" t="s">
        <v>47</v>
      </c>
      <c r="K79" t="s">
        <v>24</v>
      </c>
      <c r="L79">
        <v>29</v>
      </c>
      <c r="M79" t="str">
        <f t="shared" si="1"/>
        <v>Middle age</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Adolescent</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Adolescent</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Adolescent</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Adolescent</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Middle age</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Adolescent</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Middle age</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Adolescent</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Adolescent</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Middle age</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Adolescent</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Middle age</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Middle age</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Adolescent</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Adolescent</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38</v>
      </c>
      <c r="D97" s="3">
        <v>90000</v>
      </c>
      <c r="E97">
        <v>5</v>
      </c>
      <c r="F97" t="s">
        <v>19</v>
      </c>
      <c r="G97" t="s">
        <v>21</v>
      </c>
      <c r="H97" t="s">
        <v>15</v>
      </c>
      <c r="I97">
        <v>2</v>
      </c>
      <c r="J97" t="s">
        <v>47</v>
      </c>
      <c r="K97" t="s">
        <v>17</v>
      </c>
      <c r="L97">
        <v>62</v>
      </c>
      <c r="M97" t="str">
        <f t="shared" si="1"/>
        <v>Old</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Adolescent</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Adolescent</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Middle age</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Adolescent</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Adolescent</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Adolescent</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Adolescent</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Adolescent</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Adolescent</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Middle age</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Adolescent</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Adolescent</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Adolescent</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Adolescent</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Adolescent</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Adolescent</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Adolescent</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Adolescent</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Middle age</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Middle age</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Adolescent</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Adolescent</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Middle age</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Adolescent</v>
      </c>
      <c r="N123" t="s">
        <v>18</v>
      </c>
    </row>
    <row r="124" spans="1:14" x14ac:dyDescent="0.3">
      <c r="A124">
        <v>12344</v>
      </c>
      <c r="B124" t="s">
        <v>37</v>
      </c>
      <c r="C124" t="s">
        <v>38</v>
      </c>
      <c r="D124" s="3">
        <v>80000</v>
      </c>
      <c r="E124">
        <v>0</v>
      </c>
      <c r="F124" t="s">
        <v>13</v>
      </c>
      <c r="G124" t="s">
        <v>21</v>
      </c>
      <c r="H124" t="s">
        <v>18</v>
      </c>
      <c r="I124">
        <v>3</v>
      </c>
      <c r="J124" t="s">
        <v>47</v>
      </c>
      <c r="K124" t="s">
        <v>24</v>
      </c>
      <c r="L124">
        <v>31</v>
      </c>
      <c r="M124" t="str">
        <f t="shared" si="1"/>
        <v>Middle age</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Adolescent</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Adolescent</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Adolescent</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Adolescent</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Adolescent</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IF(L131&gt;54,"Old",IF(L131 &gt;31,"Adolescent",IF(L131&lt;=31,"Middle age","invalid")))</f>
        <v>Adolescent</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Adolescent</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Adolescent</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Adolescent</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Adolescent</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Adolescent</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Adolescent</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Adolescent</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Middle age</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Adolescent</v>
      </c>
      <c r="N144" t="s">
        <v>15</v>
      </c>
    </row>
    <row r="145" spans="1:14" x14ac:dyDescent="0.3">
      <c r="A145">
        <v>16614</v>
      </c>
      <c r="B145" t="s">
        <v>36</v>
      </c>
      <c r="C145" t="s">
        <v>38</v>
      </c>
      <c r="D145" s="3">
        <v>80000</v>
      </c>
      <c r="E145">
        <v>0</v>
      </c>
      <c r="F145" t="s">
        <v>13</v>
      </c>
      <c r="G145" t="s">
        <v>21</v>
      </c>
      <c r="H145" t="s">
        <v>15</v>
      </c>
      <c r="I145">
        <v>3</v>
      </c>
      <c r="J145" t="s">
        <v>47</v>
      </c>
      <c r="K145" t="s">
        <v>24</v>
      </c>
      <c r="L145">
        <v>32</v>
      </c>
      <c r="M145" t="str">
        <f t="shared" si="2"/>
        <v>Adolescent</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Adolescent</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Adolescent</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Adolescent</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Adolescent</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Middle age</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Adolescent</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Adolescent</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Adolescent</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Adolescent</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Adolescent</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Adolescent</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Adolescent</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Adolescent</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Adolescent</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Adolescent</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Adolescent</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Adolescent</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Adolescent</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Middle age</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Middle age</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Adolescent</v>
      </c>
      <c r="N168" t="s">
        <v>15</v>
      </c>
    </row>
    <row r="169" spans="1:14" x14ac:dyDescent="0.3">
      <c r="A169">
        <v>14233</v>
      </c>
      <c r="B169" t="s">
        <v>37</v>
      </c>
      <c r="C169" t="s">
        <v>39</v>
      </c>
      <c r="D169" s="3">
        <v>100000</v>
      </c>
      <c r="E169">
        <v>0</v>
      </c>
      <c r="F169" t="s">
        <v>27</v>
      </c>
      <c r="G169" t="s">
        <v>28</v>
      </c>
      <c r="H169" t="s">
        <v>15</v>
      </c>
      <c r="I169">
        <v>3</v>
      </c>
      <c r="J169" t="s">
        <v>47</v>
      </c>
      <c r="K169" t="s">
        <v>24</v>
      </c>
      <c r="L169">
        <v>35</v>
      </c>
      <c r="M169" t="str">
        <f t="shared" si="2"/>
        <v>Adolescent</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Adolescent</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Adolescent</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Adolescent</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Middle age</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Adolescent</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Adolescent</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Middle age</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Adolescent</v>
      </c>
      <c r="N179" t="s">
        <v>18</v>
      </c>
    </row>
    <row r="180" spans="1:14" x14ac:dyDescent="0.3">
      <c r="A180">
        <v>14191</v>
      </c>
      <c r="B180" t="s">
        <v>36</v>
      </c>
      <c r="C180" t="s">
        <v>39</v>
      </c>
      <c r="D180" s="3">
        <v>160000</v>
      </c>
      <c r="E180">
        <v>4</v>
      </c>
      <c r="F180" t="s">
        <v>19</v>
      </c>
      <c r="G180" t="s">
        <v>21</v>
      </c>
      <c r="H180" t="s">
        <v>18</v>
      </c>
      <c r="I180">
        <v>2</v>
      </c>
      <c r="J180" t="s">
        <v>47</v>
      </c>
      <c r="K180" t="s">
        <v>17</v>
      </c>
      <c r="L180">
        <v>55</v>
      </c>
      <c r="M180" t="str">
        <f t="shared" si="2"/>
        <v>Old</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Adolescent</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Adolescent</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Adolescent</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3">
        <v>130000</v>
      </c>
      <c r="E186">
        <v>4</v>
      </c>
      <c r="F186" t="s">
        <v>27</v>
      </c>
      <c r="G186" t="s">
        <v>28</v>
      </c>
      <c r="H186" t="s">
        <v>18</v>
      </c>
      <c r="I186">
        <v>4</v>
      </c>
      <c r="J186" t="s">
        <v>47</v>
      </c>
      <c r="K186" t="s">
        <v>17</v>
      </c>
      <c r="L186">
        <v>58</v>
      </c>
      <c r="M186" t="str">
        <f t="shared" si="2"/>
        <v>Old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Adolescent</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3">
        <v>80000</v>
      </c>
      <c r="E189">
        <v>5</v>
      </c>
      <c r="F189" t="s">
        <v>19</v>
      </c>
      <c r="G189" t="s">
        <v>21</v>
      </c>
      <c r="H189" t="s">
        <v>18</v>
      </c>
      <c r="I189">
        <v>2</v>
      </c>
      <c r="J189" t="s">
        <v>47</v>
      </c>
      <c r="K189" t="s">
        <v>17</v>
      </c>
      <c r="L189">
        <v>59</v>
      </c>
      <c r="M189" t="str">
        <f t="shared" si="2"/>
        <v>Old</v>
      </c>
      <c r="N189" t="s">
        <v>18</v>
      </c>
    </row>
    <row r="190" spans="1:14" x14ac:dyDescent="0.3">
      <c r="A190">
        <v>20606</v>
      </c>
      <c r="B190" t="s">
        <v>36</v>
      </c>
      <c r="C190" t="s">
        <v>38</v>
      </c>
      <c r="D190" s="3">
        <v>70000</v>
      </c>
      <c r="E190">
        <v>0</v>
      </c>
      <c r="F190" t="s">
        <v>13</v>
      </c>
      <c r="G190" t="s">
        <v>21</v>
      </c>
      <c r="H190" t="s">
        <v>15</v>
      </c>
      <c r="I190">
        <v>4</v>
      </c>
      <c r="J190" t="s">
        <v>47</v>
      </c>
      <c r="K190" t="s">
        <v>24</v>
      </c>
      <c r="L190">
        <v>32</v>
      </c>
      <c r="M190" t="str">
        <f t="shared" si="2"/>
        <v>Adolescent</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Adolescent</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Adolescent</v>
      </c>
      <c r="N193" t="s">
        <v>15</v>
      </c>
    </row>
    <row r="194" spans="1:14" x14ac:dyDescent="0.3">
      <c r="A194">
        <v>15682</v>
      </c>
      <c r="B194" t="s">
        <v>37</v>
      </c>
      <c r="C194" t="s">
        <v>38</v>
      </c>
      <c r="D194" s="3">
        <v>80000</v>
      </c>
      <c r="E194">
        <v>5</v>
      </c>
      <c r="F194" t="s">
        <v>13</v>
      </c>
      <c r="G194" t="s">
        <v>28</v>
      </c>
      <c r="H194" t="s">
        <v>15</v>
      </c>
      <c r="I194">
        <v>2</v>
      </c>
      <c r="J194" t="s">
        <v>47</v>
      </c>
      <c r="K194" t="s">
        <v>17</v>
      </c>
      <c r="L194">
        <v>62</v>
      </c>
      <c r="M194" t="str">
        <f t="shared" si="2"/>
        <v>Old</v>
      </c>
      <c r="N194" t="s">
        <v>18</v>
      </c>
    </row>
    <row r="195" spans="1:14" x14ac:dyDescent="0.3">
      <c r="A195">
        <v>26032</v>
      </c>
      <c r="B195" t="s">
        <v>36</v>
      </c>
      <c r="C195" t="s">
        <v>38</v>
      </c>
      <c r="D195" s="3">
        <v>70000</v>
      </c>
      <c r="E195">
        <v>5</v>
      </c>
      <c r="F195" t="s">
        <v>13</v>
      </c>
      <c r="G195" t="s">
        <v>21</v>
      </c>
      <c r="H195" t="s">
        <v>15</v>
      </c>
      <c r="I195">
        <v>4</v>
      </c>
      <c r="J195" t="s">
        <v>47</v>
      </c>
      <c r="K195" t="s">
        <v>24</v>
      </c>
      <c r="L195">
        <v>41</v>
      </c>
      <c r="M195" t="str">
        <f t="shared" ref="M195:M258" si="3">IF(L195&gt;54,"Old",IF(L195 &gt;31,"Adolescent",IF(L195&lt;=31,"Middle age","invalid")))</f>
        <v>Adolescent</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Adolescent</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Middle age</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Adolescent</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Adolescent</v>
      </c>
      <c r="N200" t="s">
        <v>15</v>
      </c>
    </row>
    <row r="201" spans="1:14" x14ac:dyDescent="0.3">
      <c r="A201">
        <v>11453</v>
      </c>
      <c r="B201" t="s">
        <v>37</v>
      </c>
      <c r="C201" t="s">
        <v>39</v>
      </c>
      <c r="D201" s="3">
        <v>80000</v>
      </c>
      <c r="E201">
        <v>0</v>
      </c>
      <c r="F201" t="s">
        <v>13</v>
      </c>
      <c r="G201" t="s">
        <v>21</v>
      </c>
      <c r="H201" t="s">
        <v>18</v>
      </c>
      <c r="I201">
        <v>3</v>
      </c>
      <c r="J201" t="s">
        <v>47</v>
      </c>
      <c r="K201" t="s">
        <v>24</v>
      </c>
      <c r="L201">
        <v>33</v>
      </c>
      <c r="M201" t="str">
        <f t="shared" si="3"/>
        <v>Adolescent</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Middle age</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Adolescent</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Adolescent</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Adolescent</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Adolescent</v>
      </c>
      <c r="N207" t="s">
        <v>15</v>
      </c>
    </row>
    <row r="208" spans="1:14" x14ac:dyDescent="0.3">
      <c r="A208">
        <v>11415</v>
      </c>
      <c r="B208" t="s">
        <v>37</v>
      </c>
      <c r="C208" t="s">
        <v>39</v>
      </c>
      <c r="D208" s="3">
        <v>90000</v>
      </c>
      <c r="E208">
        <v>5</v>
      </c>
      <c r="F208" t="s">
        <v>19</v>
      </c>
      <c r="G208" t="s">
        <v>21</v>
      </c>
      <c r="H208" t="s">
        <v>18</v>
      </c>
      <c r="I208">
        <v>2</v>
      </c>
      <c r="J208" t="s">
        <v>47</v>
      </c>
      <c r="K208" t="s">
        <v>17</v>
      </c>
      <c r="L208">
        <v>62</v>
      </c>
      <c r="M208" t="str">
        <f t="shared" si="3"/>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Middle age</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Adolescent</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Adolescent</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Adolescent</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Adolescent</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Middle age</v>
      </c>
      <c r="N214" t="s">
        <v>18</v>
      </c>
    </row>
    <row r="215" spans="1:14" x14ac:dyDescent="0.3">
      <c r="A215">
        <v>11451</v>
      </c>
      <c r="B215" t="s">
        <v>37</v>
      </c>
      <c r="C215" t="s">
        <v>39</v>
      </c>
      <c r="D215" s="3">
        <v>70000</v>
      </c>
      <c r="E215">
        <v>0</v>
      </c>
      <c r="F215" t="s">
        <v>13</v>
      </c>
      <c r="G215" t="s">
        <v>21</v>
      </c>
      <c r="H215" t="s">
        <v>18</v>
      </c>
      <c r="I215">
        <v>4</v>
      </c>
      <c r="J215" t="s">
        <v>47</v>
      </c>
      <c r="K215" t="s">
        <v>24</v>
      </c>
      <c r="L215">
        <v>31</v>
      </c>
      <c r="M215" t="str">
        <f t="shared" si="3"/>
        <v>Middle age</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Adolescent</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Adolescent</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Middle age</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Adolescent</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Middle age</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Adolescent</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Adolescent</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Adolescent</v>
      </c>
      <c r="N224" t="s">
        <v>18</v>
      </c>
    </row>
    <row r="225" spans="1:14" x14ac:dyDescent="0.3">
      <c r="A225">
        <v>18711</v>
      </c>
      <c r="B225" t="s">
        <v>37</v>
      </c>
      <c r="C225" t="s">
        <v>38</v>
      </c>
      <c r="D225" s="3">
        <v>70000</v>
      </c>
      <c r="E225">
        <v>5</v>
      </c>
      <c r="F225" t="s">
        <v>13</v>
      </c>
      <c r="G225" t="s">
        <v>21</v>
      </c>
      <c r="H225" t="s">
        <v>15</v>
      </c>
      <c r="I225">
        <v>4</v>
      </c>
      <c r="J225" t="s">
        <v>47</v>
      </c>
      <c r="K225" t="s">
        <v>24</v>
      </c>
      <c r="L225">
        <v>39</v>
      </c>
      <c r="M225" t="str">
        <f t="shared" si="3"/>
        <v>Adolescent</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Adolescent</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Adolescent</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Adolescent</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Adolescent</v>
      </c>
      <c r="N230" t="s">
        <v>18</v>
      </c>
    </row>
    <row r="231" spans="1:14" x14ac:dyDescent="0.3">
      <c r="A231">
        <v>28915</v>
      </c>
      <c r="B231" t="s">
        <v>37</v>
      </c>
      <c r="C231" t="s">
        <v>39</v>
      </c>
      <c r="D231" s="3">
        <v>80000</v>
      </c>
      <c r="E231">
        <v>5</v>
      </c>
      <c r="F231" t="s">
        <v>27</v>
      </c>
      <c r="G231" t="s">
        <v>28</v>
      </c>
      <c r="H231" t="s">
        <v>15</v>
      </c>
      <c r="I231">
        <v>3</v>
      </c>
      <c r="J231" t="s">
        <v>47</v>
      </c>
      <c r="K231" t="s">
        <v>17</v>
      </c>
      <c r="L231">
        <v>57</v>
      </c>
      <c r="M231" t="str">
        <f t="shared" si="3"/>
        <v>Old</v>
      </c>
      <c r="N231" t="s">
        <v>18</v>
      </c>
    </row>
    <row r="232" spans="1:14" x14ac:dyDescent="0.3">
      <c r="A232">
        <v>22830</v>
      </c>
      <c r="B232" t="s">
        <v>36</v>
      </c>
      <c r="C232" t="s">
        <v>39</v>
      </c>
      <c r="D232" s="3">
        <v>120000</v>
      </c>
      <c r="E232">
        <v>4</v>
      </c>
      <c r="F232" t="s">
        <v>19</v>
      </c>
      <c r="G232" t="s">
        <v>28</v>
      </c>
      <c r="H232" t="s">
        <v>15</v>
      </c>
      <c r="I232">
        <v>3</v>
      </c>
      <c r="J232" t="s">
        <v>47</v>
      </c>
      <c r="K232" t="s">
        <v>17</v>
      </c>
      <c r="L232">
        <v>56</v>
      </c>
      <c r="M232" t="str">
        <f t="shared" si="3"/>
        <v>Old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Adolescent</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Adolescent</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Middle age</v>
      </c>
      <c r="N235" t="s">
        <v>15</v>
      </c>
    </row>
    <row r="236" spans="1:14" x14ac:dyDescent="0.3">
      <c r="A236">
        <v>24611</v>
      </c>
      <c r="B236" t="s">
        <v>37</v>
      </c>
      <c r="C236" t="s">
        <v>39</v>
      </c>
      <c r="D236" s="3">
        <v>90000</v>
      </c>
      <c r="E236">
        <v>0</v>
      </c>
      <c r="F236" t="s">
        <v>13</v>
      </c>
      <c r="G236" t="s">
        <v>21</v>
      </c>
      <c r="H236" t="s">
        <v>18</v>
      </c>
      <c r="I236">
        <v>4</v>
      </c>
      <c r="J236" t="s">
        <v>47</v>
      </c>
      <c r="K236" t="s">
        <v>24</v>
      </c>
      <c r="L236">
        <v>35</v>
      </c>
      <c r="M236" t="str">
        <f t="shared" si="3"/>
        <v>Adolescent</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Adolescent</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Middle age</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Adolescent</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Adolescent</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Adolescent</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Middle age</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Adolescent</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Middle age</v>
      </c>
      <c r="N245" t="s">
        <v>18</v>
      </c>
    </row>
    <row r="246" spans="1:14" x14ac:dyDescent="0.3">
      <c r="A246">
        <v>19057</v>
      </c>
      <c r="B246" t="s">
        <v>36</v>
      </c>
      <c r="C246" t="s">
        <v>38</v>
      </c>
      <c r="D246" s="3">
        <v>120000</v>
      </c>
      <c r="E246">
        <v>3</v>
      </c>
      <c r="F246" t="s">
        <v>13</v>
      </c>
      <c r="G246" t="s">
        <v>28</v>
      </c>
      <c r="H246" t="s">
        <v>18</v>
      </c>
      <c r="I246">
        <v>2</v>
      </c>
      <c r="J246" t="s">
        <v>47</v>
      </c>
      <c r="K246" t="s">
        <v>17</v>
      </c>
      <c r="L246">
        <v>52</v>
      </c>
      <c r="M246" t="str">
        <f t="shared" si="3"/>
        <v>Adolescent</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Adolescent</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Adolescent</v>
      </c>
      <c r="N248" t="s">
        <v>15</v>
      </c>
    </row>
    <row r="249" spans="1:14" x14ac:dyDescent="0.3">
      <c r="A249">
        <v>21568</v>
      </c>
      <c r="B249" t="s">
        <v>36</v>
      </c>
      <c r="C249" t="s">
        <v>38</v>
      </c>
      <c r="D249" s="3">
        <v>100000</v>
      </c>
      <c r="E249">
        <v>0</v>
      </c>
      <c r="F249" t="s">
        <v>27</v>
      </c>
      <c r="G249" t="s">
        <v>28</v>
      </c>
      <c r="H249" t="s">
        <v>15</v>
      </c>
      <c r="I249">
        <v>4</v>
      </c>
      <c r="J249" t="s">
        <v>47</v>
      </c>
      <c r="K249" t="s">
        <v>24</v>
      </c>
      <c r="L249">
        <v>34</v>
      </c>
      <c r="M249" t="str">
        <f t="shared" si="3"/>
        <v>Adolescent</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Adolescent</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39</v>
      </c>
      <c r="D255" s="3">
        <v>100000</v>
      </c>
      <c r="E255">
        <v>3</v>
      </c>
      <c r="F255" t="s">
        <v>29</v>
      </c>
      <c r="G255" t="s">
        <v>21</v>
      </c>
      <c r="H255" t="s">
        <v>15</v>
      </c>
      <c r="I255">
        <v>0</v>
      </c>
      <c r="J255" t="s">
        <v>47</v>
      </c>
      <c r="K255" t="s">
        <v>17</v>
      </c>
      <c r="L255">
        <v>59</v>
      </c>
      <c r="M255" t="str">
        <f t="shared" si="3"/>
        <v>Old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Adolescent</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Adolescent</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ref="M259:M322" si="4">IF(L259&gt;54,"Old",IF(L259 &gt;31,"Adolescent",IF(L259&lt;=31,"Middle age","invalid")))</f>
        <v>Adolescent</v>
      </c>
      <c r="N259" t="s">
        <v>15</v>
      </c>
    </row>
    <row r="260" spans="1:14" x14ac:dyDescent="0.3">
      <c r="A260">
        <v>14193</v>
      </c>
      <c r="B260" t="s">
        <v>37</v>
      </c>
      <c r="C260" t="s">
        <v>38</v>
      </c>
      <c r="D260" s="3">
        <v>100000</v>
      </c>
      <c r="E260">
        <v>3</v>
      </c>
      <c r="F260" t="s">
        <v>19</v>
      </c>
      <c r="G260" t="s">
        <v>28</v>
      </c>
      <c r="H260" t="s">
        <v>15</v>
      </c>
      <c r="I260">
        <v>4</v>
      </c>
      <c r="J260" t="s">
        <v>47</v>
      </c>
      <c r="K260" t="s">
        <v>17</v>
      </c>
      <c r="L260">
        <v>56</v>
      </c>
      <c r="M260" t="str">
        <f t="shared" si="4"/>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Adolescent</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Adolescent</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Adolescent</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Adolescent</v>
      </c>
      <c r="N264" t="s">
        <v>18</v>
      </c>
    </row>
    <row r="265" spans="1:14" x14ac:dyDescent="0.3">
      <c r="A265">
        <v>23419</v>
      </c>
      <c r="B265" t="s">
        <v>37</v>
      </c>
      <c r="C265" t="s">
        <v>38</v>
      </c>
      <c r="D265" s="3">
        <v>70000</v>
      </c>
      <c r="E265">
        <v>5</v>
      </c>
      <c r="F265" t="s">
        <v>13</v>
      </c>
      <c r="G265" t="s">
        <v>21</v>
      </c>
      <c r="H265" t="s">
        <v>15</v>
      </c>
      <c r="I265">
        <v>3</v>
      </c>
      <c r="J265" t="s">
        <v>47</v>
      </c>
      <c r="K265" t="s">
        <v>24</v>
      </c>
      <c r="L265">
        <v>39</v>
      </c>
      <c r="M265" t="str">
        <f t="shared" si="4"/>
        <v>Adolescent</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Adolescent</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Adolescent</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Middle age</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Adolescent</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Adolescent</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Adolescent</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Adolescent</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Middle age</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Adolescent</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Middle age</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Adolescent</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Adolescent</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Adolescent</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Adolescent</v>
      </c>
      <c r="N279" t="s">
        <v>15</v>
      </c>
    </row>
    <row r="280" spans="1:14" x14ac:dyDescent="0.3">
      <c r="A280">
        <v>20625</v>
      </c>
      <c r="B280" t="s">
        <v>36</v>
      </c>
      <c r="C280" t="s">
        <v>39</v>
      </c>
      <c r="D280" s="3">
        <v>100000</v>
      </c>
      <c r="E280">
        <v>0</v>
      </c>
      <c r="F280" t="s">
        <v>27</v>
      </c>
      <c r="G280" t="s">
        <v>28</v>
      </c>
      <c r="H280" t="s">
        <v>15</v>
      </c>
      <c r="I280">
        <v>3</v>
      </c>
      <c r="J280" t="s">
        <v>47</v>
      </c>
      <c r="K280" t="s">
        <v>24</v>
      </c>
      <c r="L280">
        <v>35</v>
      </c>
      <c r="M280" t="str">
        <f t="shared" si="4"/>
        <v>Adolescent</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Adolescent</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Adolescent</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Adolescent</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Adolescent</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Adolescent</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Adolescent</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Adolescent</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Adolescent</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Adolescent</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Adolescent</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Adolescent</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Adolescent</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Adolescent</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Adolescent</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Adolescent</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Adolescent</v>
      </c>
      <c r="N296" t="s">
        <v>15</v>
      </c>
    </row>
    <row r="297" spans="1:14" x14ac:dyDescent="0.3">
      <c r="A297">
        <v>21557</v>
      </c>
      <c r="B297" t="s">
        <v>37</v>
      </c>
      <c r="C297" t="s">
        <v>38</v>
      </c>
      <c r="D297" s="3">
        <v>110000</v>
      </c>
      <c r="E297">
        <v>0</v>
      </c>
      <c r="F297" t="s">
        <v>19</v>
      </c>
      <c r="G297" t="s">
        <v>28</v>
      </c>
      <c r="H297" t="s">
        <v>15</v>
      </c>
      <c r="I297">
        <v>3</v>
      </c>
      <c r="J297" t="s">
        <v>47</v>
      </c>
      <c r="K297" t="s">
        <v>24</v>
      </c>
      <c r="L297">
        <v>32</v>
      </c>
      <c r="M297" t="str">
        <f t="shared" si="4"/>
        <v>Adolescent</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Adolescent</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Adolescent</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Adolescent</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Middle age</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Adolescent</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Adolescent</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Adolescent</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Adolescent</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Adolescent</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Adolescent</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Adolescent</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Adolescent</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Adolescent</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Adolescent</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Adolescent</v>
      </c>
      <c r="N319" t="s">
        <v>15</v>
      </c>
    </row>
    <row r="320" spans="1:14" x14ac:dyDescent="0.3">
      <c r="A320">
        <v>19066</v>
      </c>
      <c r="B320" t="s">
        <v>36</v>
      </c>
      <c r="C320" t="s">
        <v>39</v>
      </c>
      <c r="D320" s="3">
        <v>130000</v>
      </c>
      <c r="E320">
        <v>4</v>
      </c>
      <c r="F320" t="s">
        <v>19</v>
      </c>
      <c r="G320" t="s">
        <v>21</v>
      </c>
      <c r="H320" t="s">
        <v>18</v>
      </c>
      <c r="I320">
        <v>3</v>
      </c>
      <c r="J320" t="s">
        <v>47</v>
      </c>
      <c r="K320" t="s">
        <v>17</v>
      </c>
      <c r="L320">
        <v>54</v>
      </c>
      <c r="M320" t="str">
        <f t="shared" si="4"/>
        <v>Adolescent</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Adolescent</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Adolescent</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ref="M323:M386" si="5">IF(L323&gt;54,"Old",IF(L323 &gt;31,"Adolescent",IF(L323&lt;=31,"Middle age","invalid")))</f>
        <v>Adolescent</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Adolescent</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Adolescent</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Adolescent</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Adolescent</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Middle age</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Adolescent</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Adolescent</v>
      </c>
      <c r="N330" t="s">
        <v>18</v>
      </c>
    </row>
    <row r="331" spans="1:14" x14ac:dyDescent="0.3">
      <c r="A331">
        <v>12663</v>
      </c>
      <c r="B331" t="s">
        <v>36</v>
      </c>
      <c r="C331" t="s">
        <v>38</v>
      </c>
      <c r="D331" s="3">
        <v>90000</v>
      </c>
      <c r="E331">
        <v>5</v>
      </c>
      <c r="F331" t="s">
        <v>29</v>
      </c>
      <c r="G331" t="s">
        <v>14</v>
      </c>
      <c r="H331" t="s">
        <v>15</v>
      </c>
      <c r="I331">
        <v>2</v>
      </c>
      <c r="J331" t="s">
        <v>47</v>
      </c>
      <c r="K331" t="s">
        <v>17</v>
      </c>
      <c r="L331">
        <v>59</v>
      </c>
      <c r="M331" t="str">
        <f t="shared" si="5"/>
        <v>Old</v>
      </c>
      <c r="N331" t="s">
        <v>18</v>
      </c>
    </row>
    <row r="332" spans="1:14" x14ac:dyDescent="0.3">
      <c r="A332">
        <v>24898</v>
      </c>
      <c r="B332" t="s">
        <v>37</v>
      </c>
      <c r="C332" t="s">
        <v>38</v>
      </c>
      <c r="D332" s="3">
        <v>80000</v>
      </c>
      <c r="E332">
        <v>0</v>
      </c>
      <c r="F332" t="s">
        <v>13</v>
      </c>
      <c r="G332" t="s">
        <v>21</v>
      </c>
      <c r="H332" t="s">
        <v>15</v>
      </c>
      <c r="I332">
        <v>3</v>
      </c>
      <c r="J332" t="s">
        <v>47</v>
      </c>
      <c r="K332" t="s">
        <v>24</v>
      </c>
      <c r="L332">
        <v>32</v>
      </c>
      <c r="M332" t="str">
        <f t="shared" si="5"/>
        <v>Adolescent</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Middle age</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Adolescent</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Adolescent</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Adolescent</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Adolescent</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Adolescent</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Adolescent</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Adolescent</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Middle age</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Adolescent</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Adolescent</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Adolescent</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Adolescent</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Adolescent</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Adolescent</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Adolescent</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Middle age</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Middle age</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Adolescent</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Adolescent</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Adolescent</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Adolescent</v>
      </c>
      <c r="N356" t="s">
        <v>18</v>
      </c>
    </row>
    <row r="357" spans="1:14" x14ac:dyDescent="0.3">
      <c r="A357">
        <v>17238</v>
      </c>
      <c r="B357" t="s">
        <v>37</v>
      </c>
      <c r="C357" t="s">
        <v>39</v>
      </c>
      <c r="D357" s="3">
        <v>80000</v>
      </c>
      <c r="E357">
        <v>0</v>
      </c>
      <c r="F357" t="s">
        <v>13</v>
      </c>
      <c r="G357" t="s">
        <v>21</v>
      </c>
      <c r="H357" t="s">
        <v>15</v>
      </c>
      <c r="I357">
        <v>3</v>
      </c>
      <c r="J357" t="s">
        <v>47</v>
      </c>
      <c r="K357" t="s">
        <v>24</v>
      </c>
      <c r="L357">
        <v>32</v>
      </c>
      <c r="M357" t="str">
        <f t="shared" si="5"/>
        <v>Adolescent</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Adolescent</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Adolescent</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3">
        <v>80000</v>
      </c>
      <c r="E361">
        <v>0</v>
      </c>
      <c r="F361" t="s">
        <v>13</v>
      </c>
      <c r="G361" t="s">
        <v>21</v>
      </c>
      <c r="H361" t="s">
        <v>15</v>
      </c>
      <c r="I361">
        <v>3</v>
      </c>
      <c r="J361" t="s">
        <v>47</v>
      </c>
      <c r="K361" t="s">
        <v>24</v>
      </c>
      <c r="L361">
        <v>30</v>
      </c>
      <c r="M361" t="str">
        <f t="shared" si="5"/>
        <v>Middle age</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Adolescent</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Middle age</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Adolescent</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Adolescent</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Adolescent</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Adolescent</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Adolescent</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Adolescent</v>
      </c>
      <c r="N371" t="s">
        <v>15</v>
      </c>
    </row>
    <row r="372" spans="1:14" x14ac:dyDescent="0.3">
      <c r="A372">
        <v>17324</v>
      </c>
      <c r="B372" t="s">
        <v>36</v>
      </c>
      <c r="C372" t="s">
        <v>38</v>
      </c>
      <c r="D372" s="3">
        <v>100000</v>
      </c>
      <c r="E372">
        <v>4</v>
      </c>
      <c r="F372" t="s">
        <v>13</v>
      </c>
      <c r="G372" t="s">
        <v>21</v>
      </c>
      <c r="H372" t="s">
        <v>15</v>
      </c>
      <c r="I372">
        <v>1</v>
      </c>
      <c r="J372" t="s">
        <v>47</v>
      </c>
      <c r="K372" t="s">
        <v>24</v>
      </c>
      <c r="L372">
        <v>46</v>
      </c>
      <c r="M372" t="str">
        <f t="shared" si="5"/>
        <v>Adolescent</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Adolescent</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Adolescent</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Middle age</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Adolescent</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Adolescent</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Adolescent</v>
      </c>
      <c r="N381" t="s">
        <v>18</v>
      </c>
    </row>
    <row r="382" spans="1:14" x14ac:dyDescent="0.3">
      <c r="A382">
        <v>13620</v>
      </c>
      <c r="B382" t="s">
        <v>37</v>
      </c>
      <c r="C382" t="s">
        <v>39</v>
      </c>
      <c r="D382" s="3">
        <v>70000</v>
      </c>
      <c r="E382">
        <v>0</v>
      </c>
      <c r="F382" t="s">
        <v>13</v>
      </c>
      <c r="G382" t="s">
        <v>21</v>
      </c>
      <c r="H382" t="s">
        <v>18</v>
      </c>
      <c r="I382">
        <v>3</v>
      </c>
      <c r="J382" t="s">
        <v>47</v>
      </c>
      <c r="K382" t="s">
        <v>24</v>
      </c>
      <c r="L382">
        <v>30</v>
      </c>
      <c r="M382" t="str">
        <f t="shared" si="5"/>
        <v>Middle age</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3">
        <v>80000</v>
      </c>
      <c r="E384">
        <v>4</v>
      </c>
      <c r="F384" t="s">
        <v>19</v>
      </c>
      <c r="G384" t="s">
        <v>21</v>
      </c>
      <c r="H384" t="s">
        <v>15</v>
      </c>
      <c r="I384">
        <v>2</v>
      </c>
      <c r="J384" t="s">
        <v>47</v>
      </c>
      <c r="K384" t="s">
        <v>17</v>
      </c>
      <c r="L384">
        <v>53</v>
      </c>
      <c r="M384" t="str">
        <f t="shared" si="5"/>
        <v>Adolescent</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Adolescent</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5"/>
        <v>Middle age</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IF(L387&gt;54,"Old",IF(L387 &gt;31,"Adolescent",IF(L387&lt;=31,"Middle age","invalid")))</f>
        <v>Adolescent</v>
      </c>
      <c r="N387" t="s">
        <v>18</v>
      </c>
    </row>
    <row r="388" spans="1:14" x14ac:dyDescent="0.3">
      <c r="A388">
        <v>28957</v>
      </c>
      <c r="B388" t="s">
        <v>37</v>
      </c>
      <c r="C388" t="s">
        <v>38</v>
      </c>
      <c r="D388" s="3">
        <v>120000</v>
      </c>
      <c r="E388">
        <v>0</v>
      </c>
      <c r="F388" t="s">
        <v>29</v>
      </c>
      <c r="G388" t="s">
        <v>21</v>
      </c>
      <c r="H388" t="s">
        <v>15</v>
      </c>
      <c r="I388">
        <v>4</v>
      </c>
      <c r="J388" t="s">
        <v>47</v>
      </c>
      <c r="K388" t="s">
        <v>24</v>
      </c>
      <c r="L388">
        <v>34</v>
      </c>
      <c r="M388" t="str">
        <f t="shared" si="6"/>
        <v>Adolescent</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Adolescent</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Adolescent</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Adolescent</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Adolescent</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Adolescent</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Adolescent</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Adolescent</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Adolescent</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Adolescent</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Adolescent</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Adolescent</v>
      </c>
      <c r="N401" t="s">
        <v>15</v>
      </c>
    </row>
    <row r="402" spans="1:14" x14ac:dyDescent="0.3">
      <c r="A402">
        <v>25792</v>
      </c>
      <c r="B402" t="s">
        <v>37</v>
      </c>
      <c r="C402" t="s">
        <v>38</v>
      </c>
      <c r="D402" s="3">
        <v>110000</v>
      </c>
      <c r="E402">
        <v>3</v>
      </c>
      <c r="F402" t="s">
        <v>13</v>
      </c>
      <c r="G402" t="s">
        <v>28</v>
      </c>
      <c r="H402" t="s">
        <v>15</v>
      </c>
      <c r="I402">
        <v>4</v>
      </c>
      <c r="J402" t="s">
        <v>47</v>
      </c>
      <c r="K402" t="s">
        <v>17</v>
      </c>
      <c r="L402">
        <v>53</v>
      </c>
      <c r="M402" t="str">
        <f t="shared" si="6"/>
        <v>Adolescent</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Adolescent</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Adolescent</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Adolescent</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Adolescent</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Adolescent</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Adolescent</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Adolescent</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Adolescent</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Adolescent</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Adolescent</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Adolescent</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Adolescent</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Adolescent</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Adolescent</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Adolescent</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Adolescent</v>
      </c>
      <c r="N421" t="s">
        <v>15</v>
      </c>
    </row>
    <row r="422" spans="1:14" x14ac:dyDescent="0.3">
      <c r="A422">
        <v>18153</v>
      </c>
      <c r="B422" t="s">
        <v>36</v>
      </c>
      <c r="C422" t="s">
        <v>38</v>
      </c>
      <c r="D422" s="3">
        <v>100000</v>
      </c>
      <c r="E422">
        <v>2</v>
      </c>
      <c r="F422" t="s">
        <v>13</v>
      </c>
      <c r="G422" t="s">
        <v>28</v>
      </c>
      <c r="H422" t="s">
        <v>15</v>
      </c>
      <c r="I422">
        <v>4</v>
      </c>
      <c r="J422" t="s">
        <v>47</v>
      </c>
      <c r="K422" t="s">
        <v>17</v>
      </c>
      <c r="L422">
        <v>59</v>
      </c>
      <c r="M422" t="str">
        <f t="shared" si="6"/>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Adolescent</v>
      </c>
      <c r="N423" t="s">
        <v>18</v>
      </c>
    </row>
    <row r="424" spans="1:14" x14ac:dyDescent="0.3">
      <c r="A424">
        <v>24901</v>
      </c>
      <c r="B424" t="s">
        <v>37</v>
      </c>
      <c r="C424" t="s">
        <v>39</v>
      </c>
      <c r="D424" s="3">
        <v>110000</v>
      </c>
      <c r="E424">
        <v>0</v>
      </c>
      <c r="F424" t="s">
        <v>19</v>
      </c>
      <c r="G424" t="s">
        <v>28</v>
      </c>
      <c r="H424" t="s">
        <v>18</v>
      </c>
      <c r="I424">
        <v>3</v>
      </c>
      <c r="J424" t="s">
        <v>47</v>
      </c>
      <c r="K424" t="s">
        <v>24</v>
      </c>
      <c r="L424">
        <v>32</v>
      </c>
      <c r="M424" t="str">
        <f t="shared" si="6"/>
        <v>Adolescent</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Adolescent</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Adolescent</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Middle age</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Adolescent</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Adolescent</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Middle age</v>
      </c>
      <c r="N433" t="s">
        <v>15</v>
      </c>
    </row>
    <row r="434" spans="1:14" x14ac:dyDescent="0.3">
      <c r="A434">
        <v>21891</v>
      </c>
      <c r="B434" t="s">
        <v>36</v>
      </c>
      <c r="C434" t="s">
        <v>38</v>
      </c>
      <c r="D434" s="3">
        <v>110000</v>
      </c>
      <c r="E434">
        <v>0</v>
      </c>
      <c r="F434" t="s">
        <v>27</v>
      </c>
      <c r="G434" t="s">
        <v>28</v>
      </c>
      <c r="H434" t="s">
        <v>15</v>
      </c>
      <c r="I434">
        <v>3</v>
      </c>
      <c r="J434" t="s">
        <v>47</v>
      </c>
      <c r="K434" t="s">
        <v>24</v>
      </c>
      <c r="L434">
        <v>34</v>
      </c>
      <c r="M434" t="str">
        <f t="shared" si="6"/>
        <v>Adolescent</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Middle age</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Adolescent</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Adolescent</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Middle age</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Adolescent</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Adolescent</v>
      </c>
      <c r="N441" t="s">
        <v>18</v>
      </c>
    </row>
    <row r="442" spans="1:14" x14ac:dyDescent="0.3">
      <c r="A442">
        <v>21561</v>
      </c>
      <c r="B442" t="s">
        <v>37</v>
      </c>
      <c r="C442" t="s">
        <v>39</v>
      </c>
      <c r="D442" s="3">
        <v>90000</v>
      </c>
      <c r="E442">
        <v>0</v>
      </c>
      <c r="F442" t="s">
        <v>13</v>
      </c>
      <c r="G442" t="s">
        <v>21</v>
      </c>
      <c r="H442" t="s">
        <v>18</v>
      </c>
      <c r="I442">
        <v>3</v>
      </c>
      <c r="J442" t="s">
        <v>47</v>
      </c>
      <c r="K442" t="s">
        <v>24</v>
      </c>
      <c r="L442">
        <v>34</v>
      </c>
      <c r="M442" t="str">
        <f t="shared" si="6"/>
        <v>Adolescent</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Adolescent</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Adolescent</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Adolescent</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Adolescent</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Adolescent</v>
      </c>
      <c r="N447" t="s">
        <v>15</v>
      </c>
    </row>
    <row r="448" spans="1:14" x14ac:dyDescent="0.3">
      <c r="A448">
        <v>14278</v>
      </c>
      <c r="B448" t="s">
        <v>36</v>
      </c>
      <c r="C448" t="s">
        <v>38</v>
      </c>
      <c r="D448" s="3">
        <v>130000</v>
      </c>
      <c r="E448">
        <v>0</v>
      </c>
      <c r="F448" t="s">
        <v>31</v>
      </c>
      <c r="G448" t="s">
        <v>28</v>
      </c>
      <c r="H448" t="s">
        <v>15</v>
      </c>
      <c r="I448">
        <v>1</v>
      </c>
      <c r="J448" t="s">
        <v>47</v>
      </c>
      <c r="K448" t="s">
        <v>24</v>
      </c>
      <c r="L448">
        <v>48</v>
      </c>
      <c r="M448" t="str">
        <f t="shared" si="6"/>
        <v>Adolescent</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Adolescent</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6"/>
        <v>Adolescent</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ref="M451:M514" si="7">IF(L451&gt;54,"Old",IF(L451 &gt;31,"Adolescent",IF(L451&lt;=31,"Middle age","invalid")))</f>
        <v>Adolescent</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Adolescent</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Adolescent</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Adolescent</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Adolescent</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Adolescent</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Adolescent</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3">
        <v>120000</v>
      </c>
      <c r="E460">
        <v>0</v>
      </c>
      <c r="F460" t="s">
        <v>29</v>
      </c>
      <c r="G460" t="s">
        <v>21</v>
      </c>
      <c r="H460" t="s">
        <v>15</v>
      </c>
      <c r="I460">
        <v>4</v>
      </c>
      <c r="J460" t="s">
        <v>47</v>
      </c>
      <c r="K460" t="s">
        <v>24</v>
      </c>
      <c r="L460">
        <v>32</v>
      </c>
      <c r="M460" t="str">
        <f t="shared" si="7"/>
        <v>Adolescent</v>
      </c>
      <c r="N460" t="s">
        <v>15</v>
      </c>
    </row>
    <row r="461" spans="1:14" x14ac:dyDescent="0.3">
      <c r="A461">
        <v>21554</v>
      </c>
      <c r="B461" t="s">
        <v>37</v>
      </c>
      <c r="C461" t="s">
        <v>38</v>
      </c>
      <c r="D461" s="3">
        <v>80000</v>
      </c>
      <c r="E461">
        <v>0</v>
      </c>
      <c r="F461" t="s">
        <v>13</v>
      </c>
      <c r="G461" t="s">
        <v>21</v>
      </c>
      <c r="H461" t="s">
        <v>18</v>
      </c>
      <c r="I461">
        <v>3</v>
      </c>
      <c r="J461" t="s">
        <v>47</v>
      </c>
      <c r="K461" t="s">
        <v>24</v>
      </c>
      <c r="L461">
        <v>33</v>
      </c>
      <c r="M461" t="str">
        <f t="shared" si="7"/>
        <v>Adolescent</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Adolescent</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Adolescent</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Adolescent</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Adolescent</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Adolescent</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Adolescent</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Adolescent</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Middle age</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Adolescent</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Adolescent</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Adolescent</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Adolescent</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Adolescent</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Adolescent</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Adolescent</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Adolescent</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Adolescent</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Adolescent</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Adolescent</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Adolescent</v>
      </c>
      <c r="N487" t="s">
        <v>18</v>
      </c>
    </row>
    <row r="488" spans="1:14" x14ac:dyDescent="0.3">
      <c r="A488">
        <v>26415</v>
      </c>
      <c r="B488" t="s">
        <v>36</v>
      </c>
      <c r="C488" t="s">
        <v>38</v>
      </c>
      <c r="D488" s="3">
        <v>90000</v>
      </c>
      <c r="E488">
        <v>4</v>
      </c>
      <c r="F488" t="s">
        <v>29</v>
      </c>
      <c r="G488" t="s">
        <v>14</v>
      </c>
      <c r="H488" t="s">
        <v>15</v>
      </c>
      <c r="I488">
        <v>4</v>
      </c>
      <c r="J488" t="s">
        <v>47</v>
      </c>
      <c r="K488" t="s">
        <v>17</v>
      </c>
      <c r="L488">
        <v>58</v>
      </c>
      <c r="M488" t="str">
        <f t="shared" si="7"/>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Adolescent</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Adolescent</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Adolescent</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Adolescent</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Adolescent</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39</v>
      </c>
      <c r="D495" s="3">
        <v>70000</v>
      </c>
      <c r="E495">
        <v>5</v>
      </c>
      <c r="F495" t="s">
        <v>13</v>
      </c>
      <c r="G495" t="s">
        <v>28</v>
      </c>
      <c r="H495" t="s">
        <v>15</v>
      </c>
      <c r="I495">
        <v>3</v>
      </c>
      <c r="J495" t="s">
        <v>47</v>
      </c>
      <c r="K495" t="s">
        <v>32</v>
      </c>
      <c r="L495">
        <v>60</v>
      </c>
      <c r="M495" t="str">
        <f t="shared" si="7"/>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Adolescent</v>
      </c>
      <c r="N496" t="s">
        <v>18</v>
      </c>
    </row>
    <row r="497" spans="1:14" x14ac:dyDescent="0.3">
      <c r="A497">
        <v>24981</v>
      </c>
      <c r="B497" t="s">
        <v>36</v>
      </c>
      <c r="C497" t="s">
        <v>39</v>
      </c>
      <c r="D497" s="3">
        <v>60000</v>
      </c>
      <c r="E497">
        <v>2</v>
      </c>
      <c r="F497" t="s">
        <v>19</v>
      </c>
      <c r="G497" t="s">
        <v>21</v>
      </c>
      <c r="H497" t="s">
        <v>15</v>
      </c>
      <c r="I497">
        <v>2</v>
      </c>
      <c r="J497" t="s">
        <v>47</v>
      </c>
      <c r="K497" t="s">
        <v>32</v>
      </c>
      <c r="L497">
        <v>56</v>
      </c>
      <c r="M497" t="str">
        <f t="shared" si="7"/>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Adolescent</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Adolescent</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Adolescent</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Adolescent</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Adolescent</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Middle age</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Adolescent</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Adolescent</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Adolescent</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Adolescent</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Adolescent</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Middle age</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Adolescent</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Adolescent</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7"/>
        <v>Adolescent</v>
      </c>
      <c r="N514" t="s">
        <v>15</v>
      </c>
    </row>
    <row r="515" spans="1:14" x14ac:dyDescent="0.3">
      <c r="A515">
        <v>13353</v>
      </c>
      <c r="B515" t="s">
        <v>37</v>
      </c>
      <c r="C515" t="s">
        <v>38</v>
      </c>
      <c r="D515" s="3">
        <v>60000</v>
      </c>
      <c r="E515">
        <v>4</v>
      </c>
      <c r="F515" t="s">
        <v>31</v>
      </c>
      <c r="G515" t="s">
        <v>28</v>
      </c>
      <c r="H515" t="s">
        <v>15</v>
      </c>
      <c r="I515">
        <v>2</v>
      </c>
      <c r="J515" t="s">
        <v>47</v>
      </c>
      <c r="K515" t="s">
        <v>32</v>
      </c>
      <c r="L515">
        <v>61</v>
      </c>
      <c r="M515" t="str">
        <f t="shared" ref="M515:M578" si="8">IF(L515&gt;54,"Old",IF(L515 &gt;31,"Adolescent",IF(L515&lt;=31,"Middle age","invalid")))</f>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Adolescent</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Adolescent</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Adolescent</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Adolescent</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Adolescent</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Adolescent</v>
      </c>
      <c r="N522" t="s">
        <v>18</v>
      </c>
    </row>
    <row r="523" spans="1:14" x14ac:dyDescent="0.3">
      <c r="A523">
        <v>18976</v>
      </c>
      <c r="B523" t="s">
        <v>37</v>
      </c>
      <c r="C523" t="s">
        <v>39</v>
      </c>
      <c r="D523" s="3">
        <v>40000</v>
      </c>
      <c r="E523">
        <v>4</v>
      </c>
      <c r="F523" t="s">
        <v>27</v>
      </c>
      <c r="G523" t="s">
        <v>21</v>
      </c>
      <c r="H523" t="s">
        <v>15</v>
      </c>
      <c r="I523">
        <v>2</v>
      </c>
      <c r="J523" t="s">
        <v>47</v>
      </c>
      <c r="K523" t="s">
        <v>32</v>
      </c>
      <c r="L523">
        <v>62</v>
      </c>
      <c r="M523" t="str">
        <f t="shared" si="8"/>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Adolescent</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Adolescent</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3">
        <v>60000</v>
      </c>
      <c r="E527">
        <v>5</v>
      </c>
      <c r="F527" t="s">
        <v>13</v>
      </c>
      <c r="G527" t="s">
        <v>28</v>
      </c>
      <c r="H527" t="s">
        <v>15</v>
      </c>
      <c r="I527">
        <v>3</v>
      </c>
      <c r="J527" t="s">
        <v>47</v>
      </c>
      <c r="K527" t="s">
        <v>32</v>
      </c>
      <c r="L527">
        <v>59</v>
      </c>
      <c r="M527" t="str">
        <f t="shared" si="8"/>
        <v>Old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Adolescent</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Adolescent</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Middle age</v>
      </c>
      <c r="N530" t="s">
        <v>18</v>
      </c>
    </row>
    <row r="531" spans="1:14" x14ac:dyDescent="0.3">
      <c r="A531">
        <v>13233</v>
      </c>
      <c r="B531" t="s">
        <v>36</v>
      </c>
      <c r="C531" t="s">
        <v>39</v>
      </c>
      <c r="D531" s="3">
        <v>60000</v>
      </c>
      <c r="E531">
        <v>2</v>
      </c>
      <c r="F531" t="s">
        <v>19</v>
      </c>
      <c r="G531" t="s">
        <v>21</v>
      </c>
      <c r="H531" t="s">
        <v>15</v>
      </c>
      <c r="I531">
        <v>1</v>
      </c>
      <c r="J531" t="s">
        <v>47</v>
      </c>
      <c r="K531" t="s">
        <v>32</v>
      </c>
      <c r="L531">
        <v>57</v>
      </c>
      <c r="M531" t="str">
        <f t="shared" si="8"/>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Middle age</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Middle age</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Adolescent</v>
      </c>
      <c r="N534" t="s">
        <v>15</v>
      </c>
    </row>
    <row r="535" spans="1:14" x14ac:dyDescent="0.3">
      <c r="A535">
        <v>24941</v>
      </c>
      <c r="B535" t="s">
        <v>36</v>
      </c>
      <c r="C535" t="s">
        <v>39</v>
      </c>
      <c r="D535" s="3">
        <v>60000</v>
      </c>
      <c r="E535">
        <v>3</v>
      </c>
      <c r="F535" t="s">
        <v>13</v>
      </c>
      <c r="G535" t="s">
        <v>28</v>
      </c>
      <c r="H535" t="s">
        <v>15</v>
      </c>
      <c r="I535">
        <v>2</v>
      </c>
      <c r="J535" t="s">
        <v>47</v>
      </c>
      <c r="K535" t="s">
        <v>32</v>
      </c>
      <c r="L535">
        <v>66</v>
      </c>
      <c r="M535" t="str">
        <f t="shared" si="8"/>
        <v>Old</v>
      </c>
      <c r="N535" t="s">
        <v>18</v>
      </c>
    </row>
    <row r="536" spans="1:14" x14ac:dyDescent="0.3">
      <c r="A536">
        <v>24637</v>
      </c>
      <c r="B536" t="s">
        <v>36</v>
      </c>
      <c r="C536" t="s">
        <v>39</v>
      </c>
      <c r="D536" s="3">
        <v>40000</v>
      </c>
      <c r="E536">
        <v>4</v>
      </c>
      <c r="F536" t="s">
        <v>27</v>
      </c>
      <c r="G536" t="s">
        <v>21</v>
      </c>
      <c r="H536" t="s">
        <v>15</v>
      </c>
      <c r="I536">
        <v>2</v>
      </c>
      <c r="J536" t="s">
        <v>47</v>
      </c>
      <c r="K536" t="s">
        <v>32</v>
      </c>
      <c r="L536">
        <v>64</v>
      </c>
      <c r="M536" t="str">
        <f t="shared" si="8"/>
        <v>Old</v>
      </c>
      <c r="N536" t="s">
        <v>18</v>
      </c>
    </row>
    <row r="537" spans="1:14" x14ac:dyDescent="0.3">
      <c r="A537">
        <v>23893</v>
      </c>
      <c r="B537" t="s">
        <v>36</v>
      </c>
      <c r="C537" t="s">
        <v>39</v>
      </c>
      <c r="D537" s="3">
        <v>50000</v>
      </c>
      <c r="E537">
        <v>3</v>
      </c>
      <c r="F537" t="s">
        <v>13</v>
      </c>
      <c r="G537" t="s">
        <v>14</v>
      </c>
      <c r="H537" t="s">
        <v>15</v>
      </c>
      <c r="I537">
        <v>3</v>
      </c>
      <c r="J537" t="s">
        <v>47</v>
      </c>
      <c r="K537" t="s">
        <v>32</v>
      </c>
      <c r="L537">
        <v>41</v>
      </c>
      <c r="M537" t="str">
        <f t="shared" si="8"/>
        <v>Adolescent</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Adolescent</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Adolescent</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Adolescent</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Adolescent</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Adolescent</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Adolescent</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Middle age</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Adolescent</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Adolescent</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Middle age</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Adolescent</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Adolescent</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Adolescent</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Adolescent</v>
      </c>
      <c r="N552" t="s">
        <v>15</v>
      </c>
    </row>
    <row r="553" spans="1:14" x14ac:dyDescent="0.3">
      <c r="A553">
        <v>27393</v>
      </c>
      <c r="B553" t="s">
        <v>36</v>
      </c>
      <c r="C553" t="s">
        <v>38</v>
      </c>
      <c r="D553" s="3">
        <v>50000</v>
      </c>
      <c r="E553">
        <v>4</v>
      </c>
      <c r="F553" t="s">
        <v>13</v>
      </c>
      <c r="G553" t="s">
        <v>28</v>
      </c>
      <c r="H553" t="s">
        <v>15</v>
      </c>
      <c r="I553">
        <v>2</v>
      </c>
      <c r="J553" t="s">
        <v>47</v>
      </c>
      <c r="K553" t="s">
        <v>32</v>
      </c>
      <c r="L553">
        <v>63</v>
      </c>
      <c r="M553" t="str">
        <f t="shared" si="8"/>
        <v>Old</v>
      </c>
      <c r="N553" t="s">
        <v>18</v>
      </c>
    </row>
    <row r="554" spans="1:14" x14ac:dyDescent="0.3">
      <c r="A554">
        <v>14417</v>
      </c>
      <c r="B554" t="s">
        <v>37</v>
      </c>
      <c r="C554" t="s">
        <v>39</v>
      </c>
      <c r="D554" s="3">
        <v>60000</v>
      </c>
      <c r="E554">
        <v>3</v>
      </c>
      <c r="F554" t="s">
        <v>27</v>
      </c>
      <c r="G554" t="s">
        <v>21</v>
      </c>
      <c r="H554" t="s">
        <v>15</v>
      </c>
      <c r="I554">
        <v>2</v>
      </c>
      <c r="J554" t="s">
        <v>47</v>
      </c>
      <c r="K554" t="s">
        <v>32</v>
      </c>
      <c r="L554">
        <v>54</v>
      </c>
      <c r="M554" t="str">
        <f t="shared" si="8"/>
        <v>Adolescent</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Adolescent</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Adolescent</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Adolescent</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Adolescent</v>
      </c>
      <c r="N560" t="s">
        <v>18</v>
      </c>
    </row>
    <row r="561" spans="1:14" x14ac:dyDescent="0.3">
      <c r="A561">
        <v>15895</v>
      </c>
      <c r="B561" t="s">
        <v>37</v>
      </c>
      <c r="C561" t="s">
        <v>38</v>
      </c>
      <c r="D561" s="3">
        <v>60000</v>
      </c>
      <c r="E561">
        <v>2</v>
      </c>
      <c r="F561" t="s">
        <v>13</v>
      </c>
      <c r="G561" t="s">
        <v>28</v>
      </c>
      <c r="H561" t="s">
        <v>15</v>
      </c>
      <c r="I561">
        <v>0</v>
      </c>
      <c r="J561" t="s">
        <v>47</v>
      </c>
      <c r="K561" t="s">
        <v>32</v>
      </c>
      <c r="L561">
        <v>58</v>
      </c>
      <c r="M561" t="str">
        <f t="shared" si="8"/>
        <v>Old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Adolescent</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Adolescent</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Adolescent</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Middle age</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Middle age</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Adolescent</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Adolescent</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Adolescent</v>
      </c>
      <c r="N570" t="s">
        <v>15</v>
      </c>
    </row>
    <row r="571" spans="1:14" x14ac:dyDescent="0.3">
      <c r="A571">
        <v>26452</v>
      </c>
      <c r="B571" t="s">
        <v>37</v>
      </c>
      <c r="C571" t="s">
        <v>39</v>
      </c>
      <c r="D571" s="3">
        <v>50000</v>
      </c>
      <c r="E571">
        <v>3</v>
      </c>
      <c r="F571" t="s">
        <v>31</v>
      </c>
      <c r="G571" t="s">
        <v>28</v>
      </c>
      <c r="H571" t="s">
        <v>15</v>
      </c>
      <c r="I571">
        <v>2</v>
      </c>
      <c r="J571" t="s">
        <v>47</v>
      </c>
      <c r="K571" t="s">
        <v>32</v>
      </c>
      <c r="L571">
        <v>69</v>
      </c>
      <c r="M571" t="str">
        <f t="shared" si="8"/>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Adolescent</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Middle age</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Adolescent</v>
      </c>
      <c r="N576" t="s">
        <v>15</v>
      </c>
    </row>
    <row r="577" spans="1:14" x14ac:dyDescent="0.3">
      <c r="A577">
        <v>13388</v>
      </c>
      <c r="B577" t="s">
        <v>37</v>
      </c>
      <c r="C577" t="s">
        <v>39</v>
      </c>
      <c r="D577" s="3">
        <v>60000</v>
      </c>
      <c r="E577">
        <v>2</v>
      </c>
      <c r="F577" t="s">
        <v>19</v>
      </c>
      <c r="G577" t="s">
        <v>21</v>
      </c>
      <c r="H577" t="s">
        <v>15</v>
      </c>
      <c r="I577">
        <v>1</v>
      </c>
      <c r="J577" t="s">
        <v>47</v>
      </c>
      <c r="K577" t="s">
        <v>32</v>
      </c>
      <c r="L577">
        <v>56</v>
      </c>
      <c r="M577" t="str">
        <f t="shared" si="8"/>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IF(L579&gt;54,"Old",IF(L579 &gt;31,"Adolescent",IF(L579&lt;=31,"Middle age","invalid")))</f>
        <v>Adolescent</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Adolescent</v>
      </c>
      <c r="N581" t="s">
        <v>18</v>
      </c>
    </row>
    <row r="582" spans="1:14" x14ac:dyDescent="0.3">
      <c r="A582">
        <v>20380</v>
      </c>
      <c r="B582" t="s">
        <v>36</v>
      </c>
      <c r="C582" t="s">
        <v>38</v>
      </c>
      <c r="D582" s="3">
        <v>60000</v>
      </c>
      <c r="E582">
        <v>3</v>
      </c>
      <c r="F582" t="s">
        <v>31</v>
      </c>
      <c r="G582" t="s">
        <v>28</v>
      </c>
      <c r="H582" t="s">
        <v>15</v>
      </c>
      <c r="I582">
        <v>2</v>
      </c>
      <c r="J582" t="s">
        <v>47</v>
      </c>
      <c r="K582" t="s">
        <v>32</v>
      </c>
      <c r="L582">
        <v>69</v>
      </c>
      <c r="M582" t="str">
        <f t="shared" si="9"/>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Middle age</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Adolescent</v>
      </c>
      <c r="N584" t="s">
        <v>18</v>
      </c>
    </row>
    <row r="585" spans="1:14" x14ac:dyDescent="0.3">
      <c r="A585">
        <v>24943</v>
      </c>
      <c r="B585" t="s">
        <v>36</v>
      </c>
      <c r="C585" t="s">
        <v>39</v>
      </c>
      <c r="D585" s="3">
        <v>60000</v>
      </c>
      <c r="E585">
        <v>3</v>
      </c>
      <c r="F585" t="s">
        <v>13</v>
      </c>
      <c r="G585" t="s">
        <v>28</v>
      </c>
      <c r="H585" t="s">
        <v>15</v>
      </c>
      <c r="I585">
        <v>2</v>
      </c>
      <c r="J585" t="s">
        <v>47</v>
      </c>
      <c r="K585" t="s">
        <v>32</v>
      </c>
      <c r="L585">
        <v>66</v>
      </c>
      <c r="M585" t="str">
        <f t="shared" si="9"/>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Adolescent</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Adolescent</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Adolescent</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Adolescent</v>
      </c>
      <c r="N589" t="s">
        <v>18</v>
      </c>
    </row>
    <row r="590" spans="1:14" x14ac:dyDescent="0.3">
      <c r="A590">
        <v>16871</v>
      </c>
      <c r="B590" t="s">
        <v>36</v>
      </c>
      <c r="C590" t="s">
        <v>38</v>
      </c>
      <c r="D590" s="3">
        <v>90000</v>
      </c>
      <c r="E590">
        <v>2</v>
      </c>
      <c r="F590" t="s">
        <v>27</v>
      </c>
      <c r="G590" t="s">
        <v>21</v>
      </c>
      <c r="H590" t="s">
        <v>15</v>
      </c>
      <c r="I590">
        <v>1</v>
      </c>
      <c r="J590" t="s">
        <v>47</v>
      </c>
      <c r="K590" t="s">
        <v>32</v>
      </c>
      <c r="L590">
        <v>51</v>
      </c>
      <c r="M590" t="str">
        <f t="shared" si="9"/>
        <v>Adolescent</v>
      </c>
      <c r="N590" t="s">
        <v>15</v>
      </c>
    </row>
    <row r="591" spans="1:14" x14ac:dyDescent="0.3">
      <c r="A591">
        <v>12100</v>
      </c>
      <c r="B591" t="s">
        <v>37</v>
      </c>
      <c r="C591" t="s">
        <v>39</v>
      </c>
      <c r="D591" s="3">
        <v>60000</v>
      </c>
      <c r="E591">
        <v>2</v>
      </c>
      <c r="F591" t="s">
        <v>13</v>
      </c>
      <c r="G591" t="s">
        <v>28</v>
      </c>
      <c r="H591" t="s">
        <v>15</v>
      </c>
      <c r="I591">
        <v>0</v>
      </c>
      <c r="J591" t="s">
        <v>47</v>
      </c>
      <c r="K591" t="s">
        <v>32</v>
      </c>
      <c r="L591">
        <v>57</v>
      </c>
      <c r="M591" t="str">
        <f t="shared" si="9"/>
        <v>Old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Adolescent</v>
      </c>
      <c r="N592" t="s">
        <v>15</v>
      </c>
    </row>
    <row r="593" spans="1:14" x14ac:dyDescent="0.3">
      <c r="A593">
        <v>18545</v>
      </c>
      <c r="B593" t="s">
        <v>36</v>
      </c>
      <c r="C593" t="s">
        <v>39</v>
      </c>
      <c r="D593" s="3">
        <v>40000</v>
      </c>
      <c r="E593">
        <v>4</v>
      </c>
      <c r="F593" t="s">
        <v>27</v>
      </c>
      <c r="G593" t="s">
        <v>21</v>
      </c>
      <c r="H593" t="s">
        <v>18</v>
      </c>
      <c r="I593">
        <v>2</v>
      </c>
      <c r="J593" t="s">
        <v>47</v>
      </c>
      <c r="K593" t="s">
        <v>32</v>
      </c>
      <c r="L593">
        <v>61</v>
      </c>
      <c r="M593" t="str">
        <f t="shared" si="9"/>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Adolescent</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Adolescent</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Adolescent</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Adolescent</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Adolescent</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Adolescent</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Adolescent</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Adolescent</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Middle age</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Adolescent</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Adolescent</v>
      </c>
      <c r="N608" t="s">
        <v>18</v>
      </c>
    </row>
    <row r="609" spans="1:14" x14ac:dyDescent="0.3">
      <c r="A609">
        <v>16145</v>
      </c>
      <c r="B609" t="s">
        <v>37</v>
      </c>
      <c r="C609" t="s">
        <v>38</v>
      </c>
      <c r="D609" s="3">
        <v>70000</v>
      </c>
      <c r="E609">
        <v>5</v>
      </c>
      <c r="F609" t="s">
        <v>31</v>
      </c>
      <c r="G609" t="s">
        <v>21</v>
      </c>
      <c r="H609" t="s">
        <v>15</v>
      </c>
      <c r="I609">
        <v>3</v>
      </c>
      <c r="J609" t="s">
        <v>47</v>
      </c>
      <c r="K609" t="s">
        <v>32</v>
      </c>
      <c r="L609">
        <v>46</v>
      </c>
      <c r="M609" t="str">
        <f t="shared" si="9"/>
        <v>Adolescent</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Adolescent</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Adolescent</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Adolescent</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Adolescent</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Middle age</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Adolescent</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Adolescent</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Adolescent</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Adolescent</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Adolescent</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Adolescent</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Middle age</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Adolescent</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Adolescent</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Middle age</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Middle age</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Adolescent</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Adolescent</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Middle age</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Adolescent</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Adolescent</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Adolescent</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Adolescent</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Adolescent</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Middle age</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3">
        <v>50000</v>
      </c>
      <c r="E643">
        <v>4</v>
      </c>
      <c r="F643" t="s">
        <v>13</v>
      </c>
      <c r="G643" t="s">
        <v>28</v>
      </c>
      <c r="H643" t="s">
        <v>15</v>
      </c>
      <c r="I643">
        <v>2</v>
      </c>
      <c r="J643" t="s">
        <v>47</v>
      </c>
      <c r="K643" t="s">
        <v>32</v>
      </c>
      <c r="L643">
        <v>64</v>
      </c>
      <c r="M643" t="str">
        <f t="shared" ref="M643:M706" si="10">IF(L643&gt;54,"Old",IF(L643 &gt;31,"Adolescent",IF(L643&lt;=31,"Middle age","invalid")))</f>
        <v>Old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Adolescent</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Adolescent</v>
      </c>
      <c r="N645" t="s">
        <v>15</v>
      </c>
    </row>
    <row r="646" spans="1:14" x14ac:dyDescent="0.3">
      <c r="A646">
        <v>23368</v>
      </c>
      <c r="B646" t="s">
        <v>36</v>
      </c>
      <c r="C646" t="s">
        <v>38</v>
      </c>
      <c r="D646" s="3">
        <v>60000</v>
      </c>
      <c r="E646">
        <v>5</v>
      </c>
      <c r="F646" t="s">
        <v>13</v>
      </c>
      <c r="G646" t="s">
        <v>14</v>
      </c>
      <c r="H646" t="s">
        <v>15</v>
      </c>
      <c r="I646">
        <v>3</v>
      </c>
      <c r="J646" t="s">
        <v>47</v>
      </c>
      <c r="K646" t="s">
        <v>32</v>
      </c>
      <c r="L646">
        <v>41</v>
      </c>
      <c r="M646" t="str">
        <f t="shared" si="10"/>
        <v>Adolescent</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Adolescent</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Adolescent</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Adolescent</v>
      </c>
      <c r="N651" t="s">
        <v>15</v>
      </c>
    </row>
    <row r="652" spans="1:14" x14ac:dyDescent="0.3">
      <c r="A652">
        <v>18435</v>
      </c>
      <c r="B652" t="s">
        <v>37</v>
      </c>
      <c r="C652" t="s">
        <v>38</v>
      </c>
      <c r="D652" s="3">
        <v>70000</v>
      </c>
      <c r="E652">
        <v>5</v>
      </c>
      <c r="F652" t="s">
        <v>31</v>
      </c>
      <c r="G652" t="s">
        <v>28</v>
      </c>
      <c r="H652" t="s">
        <v>15</v>
      </c>
      <c r="I652">
        <v>2</v>
      </c>
      <c r="J652" t="s">
        <v>47</v>
      </c>
      <c r="K652" t="s">
        <v>32</v>
      </c>
      <c r="L652">
        <v>67</v>
      </c>
      <c r="M652" t="str">
        <f t="shared" si="10"/>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Adolescent</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Adolescent</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Adolescent</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Adolescent</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Adolescent</v>
      </c>
      <c r="N660" t="s">
        <v>15</v>
      </c>
    </row>
    <row r="661" spans="1:14" x14ac:dyDescent="0.3">
      <c r="A661">
        <v>24643</v>
      </c>
      <c r="B661" t="s">
        <v>37</v>
      </c>
      <c r="C661" t="s">
        <v>38</v>
      </c>
      <c r="D661" s="3">
        <v>60000</v>
      </c>
      <c r="E661">
        <v>4</v>
      </c>
      <c r="F661" t="s">
        <v>13</v>
      </c>
      <c r="G661" t="s">
        <v>28</v>
      </c>
      <c r="H661" t="s">
        <v>15</v>
      </c>
      <c r="I661">
        <v>2</v>
      </c>
      <c r="J661" t="s">
        <v>47</v>
      </c>
      <c r="K661" t="s">
        <v>32</v>
      </c>
      <c r="L661">
        <v>63</v>
      </c>
      <c r="M661" t="str">
        <f t="shared" si="10"/>
        <v>Old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Adolescent</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Middle age</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Adolescent</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Adolescent</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Adolescent</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Adolescent</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Adolescent</v>
      </c>
      <c r="N668" t="s">
        <v>15</v>
      </c>
    </row>
    <row r="669" spans="1:14" x14ac:dyDescent="0.3">
      <c r="A669">
        <v>20505</v>
      </c>
      <c r="B669" t="s">
        <v>36</v>
      </c>
      <c r="C669" t="s">
        <v>38</v>
      </c>
      <c r="D669" s="3">
        <v>40000</v>
      </c>
      <c r="E669">
        <v>5</v>
      </c>
      <c r="F669" t="s">
        <v>27</v>
      </c>
      <c r="G669" t="s">
        <v>21</v>
      </c>
      <c r="H669" t="s">
        <v>18</v>
      </c>
      <c r="I669">
        <v>2</v>
      </c>
      <c r="J669" t="s">
        <v>47</v>
      </c>
      <c r="K669" t="s">
        <v>32</v>
      </c>
      <c r="L669">
        <v>61</v>
      </c>
      <c r="M669" t="str">
        <f t="shared" si="10"/>
        <v>Old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Adolescent</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Adolescent</v>
      </c>
      <c r="N671" t="s">
        <v>18</v>
      </c>
    </row>
    <row r="672" spans="1:14" x14ac:dyDescent="0.3">
      <c r="A672">
        <v>21471</v>
      </c>
      <c r="B672" t="s">
        <v>36</v>
      </c>
      <c r="C672" t="s">
        <v>39</v>
      </c>
      <c r="D672" s="3">
        <v>70000</v>
      </c>
      <c r="E672">
        <v>2</v>
      </c>
      <c r="F672" t="s">
        <v>19</v>
      </c>
      <c r="G672" t="s">
        <v>21</v>
      </c>
      <c r="H672" t="s">
        <v>15</v>
      </c>
      <c r="I672">
        <v>1</v>
      </c>
      <c r="J672" t="s">
        <v>47</v>
      </c>
      <c r="K672" t="s">
        <v>32</v>
      </c>
      <c r="L672">
        <v>59</v>
      </c>
      <c r="M672" t="str">
        <f t="shared" si="10"/>
        <v>Old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Adolescent</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Middle age</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Adolescent</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Adolescent</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Adolescent</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Adolescent</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Adolescent</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3">
        <v>60000</v>
      </c>
      <c r="E681">
        <v>4</v>
      </c>
      <c r="F681" t="s">
        <v>13</v>
      </c>
      <c r="G681" t="s">
        <v>28</v>
      </c>
      <c r="H681" t="s">
        <v>15</v>
      </c>
      <c r="I681">
        <v>2</v>
      </c>
      <c r="J681" t="s">
        <v>47</v>
      </c>
      <c r="K681" t="s">
        <v>32</v>
      </c>
      <c r="L681">
        <v>60</v>
      </c>
      <c r="M681" t="str">
        <f t="shared" si="10"/>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Adolescent</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Adolescent</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Adolescent</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Adolescent</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Adolescent</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Adolescent</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Adolescent</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Middle age</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Middle age</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Middle age</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Adolescent</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Adolescent</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Adolescent</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Adolescent</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Adolescent</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Adolescent</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Middle age</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Middle age</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Adolescent</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Adolescent</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Middle age</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Adolescent</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Adolescent</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Adolescent</v>
      </c>
      <c r="N706" t="s">
        <v>15</v>
      </c>
    </row>
    <row r="707" spans="1:14" x14ac:dyDescent="0.3">
      <c r="A707">
        <v>11199</v>
      </c>
      <c r="B707" t="s">
        <v>36</v>
      </c>
      <c r="C707" t="s">
        <v>38</v>
      </c>
      <c r="D707" s="3">
        <v>70000</v>
      </c>
      <c r="E707">
        <v>4</v>
      </c>
      <c r="F707" t="s">
        <v>13</v>
      </c>
      <c r="G707" t="s">
        <v>28</v>
      </c>
      <c r="H707" t="s">
        <v>15</v>
      </c>
      <c r="I707">
        <v>1</v>
      </c>
      <c r="J707" t="s">
        <v>47</v>
      </c>
      <c r="K707" t="s">
        <v>32</v>
      </c>
      <c r="L707">
        <v>59</v>
      </c>
      <c r="M707" t="str">
        <f t="shared" ref="M707:M770" si="11">IF(L707&gt;54,"Old",IF(L707 &gt;31,"Adolescent",IF(L707&lt;=31,"Middle age","invalid")))</f>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Adolescent</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Adolescent</v>
      </c>
      <c r="N709" t="s">
        <v>15</v>
      </c>
    </row>
    <row r="710" spans="1:14" x14ac:dyDescent="0.3">
      <c r="A710">
        <v>18069</v>
      </c>
      <c r="B710" t="s">
        <v>36</v>
      </c>
      <c r="C710" t="s">
        <v>39</v>
      </c>
      <c r="D710" s="3">
        <v>70000</v>
      </c>
      <c r="E710">
        <v>5</v>
      </c>
      <c r="F710" t="s">
        <v>13</v>
      </c>
      <c r="G710" t="s">
        <v>28</v>
      </c>
      <c r="H710" t="s">
        <v>15</v>
      </c>
      <c r="I710">
        <v>4</v>
      </c>
      <c r="J710" t="s">
        <v>47</v>
      </c>
      <c r="K710" t="s">
        <v>32</v>
      </c>
      <c r="L710">
        <v>60</v>
      </c>
      <c r="M710" t="str">
        <f t="shared" si="11"/>
        <v>Old</v>
      </c>
      <c r="N710" t="s">
        <v>18</v>
      </c>
    </row>
    <row r="711" spans="1:14" x14ac:dyDescent="0.3">
      <c r="A711">
        <v>23712</v>
      </c>
      <c r="B711" t="s">
        <v>37</v>
      </c>
      <c r="C711" t="s">
        <v>38</v>
      </c>
      <c r="D711" s="3">
        <v>70000</v>
      </c>
      <c r="E711">
        <v>2</v>
      </c>
      <c r="F711" t="s">
        <v>13</v>
      </c>
      <c r="G711" t="s">
        <v>28</v>
      </c>
      <c r="H711" t="s">
        <v>15</v>
      </c>
      <c r="I711">
        <v>1</v>
      </c>
      <c r="J711" t="s">
        <v>47</v>
      </c>
      <c r="K711" t="s">
        <v>32</v>
      </c>
      <c r="L711">
        <v>59</v>
      </c>
      <c r="M711" t="str">
        <f t="shared" si="11"/>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Adolescent</v>
      </c>
      <c r="N712" t="s">
        <v>15</v>
      </c>
    </row>
    <row r="713" spans="1:14" x14ac:dyDescent="0.3">
      <c r="A713">
        <v>20518</v>
      </c>
      <c r="B713" t="s">
        <v>36</v>
      </c>
      <c r="C713" t="s">
        <v>38</v>
      </c>
      <c r="D713" s="3">
        <v>70000</v>
      </c>
      <c r="E713">
        <v>2</v>
      </c>
      <c r="F713" t="s">
        <v>19</v>
      </c>
      <c r="G713" t="s">
        <v>21</v>
      </c>
      <c r="H713" t="s">
        <v>15</v>
      </c>
      <c r="I713">
        <v>1</v>
      </c>
      <c r="J713" t="s">
        <v>47</v>
      </c>
      <c r="K713" t="s">
        <v>32</v>
      </c>
      <c r="L713">
        <v>58</v>
      </c>
      <c r="M713" t="str">
        <f t="shared" si="11"/>
        <v>Old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Adolescent</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Middle age</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Adolescent</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Adolescent</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Adolescent</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Adolescent</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Adolescent</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Adolescent</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Adolescent</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Adolescent</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Adolescent</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Adolescent</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Adolescent</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Adolescent</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Middle age</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Adolescent</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Adolescent</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Adolescent</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Adolescent</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Adolescent</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Adolescent</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Middle age</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Adolescent</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Adolescent</v>
      </c>
      <c r="N740" t="s">
        <v>15</v>
      </c>
    </row>
    <row r="741" spans="1:14" x14ac:dyDescent="0.3">
      <c r="A741">
        <v>11225</v>
      </c>
      <c r="B741" t="s">
        <v>36</v>
      </c>
      <c r="C741" t="s">
        <v>38</v>
      </c>
      <c r="D741" s="3">
        <v>60000</v>
      </c>
      <c r="E741">
        <v>2</v>
      </c>
      <c r="F741" t="s">
        <v>19</v>
      </c>
      <c r="G741" t="s">
        <v>21</v>
      </c>
      <c r="H741" t="s">
        <v>15</v>
      </c>
      <c r="I741">
        <v>1</v>
      </c>
      <c r="J741" t="s">
        <v>47</v>
      </c>
      <c r="K741" t="s">
        <v>32</v>
      </c>
      <c r="L741">
        <v>55</v>
      </c>
      <c r="M741" t="str">
        <f t="shared" si="11"/>
        <v>Old</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Middle age</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Adolescent</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Middle age</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Adolescent</v>
      </c>
      <c r="N745" t="s">
        <v>18</v>
      </c>
    </row>
    <row r="746" spans="1:14" x14ac:dyDescent="0.3">
      <c r="A746">
        <v>20535</v>
      </c>
      <c r="B746" t="s">
        <v>36</v>
      </c>
      <c r="C746" t="s">
        <v>38</v>
      </c>
      <c r="D746" s="3">
        <v>70000</v>
      </c>
      <c r="E746">
        <v>4</v>
      </c>
      <c r="F746" t="s">
        <v>19</v>
      </c>
      <c r="G746" t="s">
        <v>21</v>
      </c>
      <c r="H746" t="s">
        <v>15</v>
      </c>
      <c r="I746">
        <v>1</v>
      </c>
      <c r="J746" t="s">
        <v>47</v>
      </c>
      <c r="K746" t="s">
        <v>32</v>
      </c>
      <c r="L746">
        <v>56</v>
      </c>
      <c r="M746" t="str">
        <f t="shared" si="11"/>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Adolescent</v>
      </c>
      <c r="N747" t="s">
        <v>15</v>
      </c>
    </row>
    <row r="748" spans="1:14" x14ac:dyDescent="0.3">
      <c r="A748">
        <v>28043</v>
      </c>
      <c r="B748" t="s">
        <v>36</v>
      </c>
      <c r="C748" t="s">
        <v>38</v>
      </c>
      <c r="D748" s="3">
        <v>60000</v>
      </c>
      <c r="E748">
        <v>2</v>
      </c>
      <c r="F748" t="s">
        <v>13</v>
      </c>
      <c r="G748" t="s">
        <v>28</v>
      </c>
      <c r="H748" t="s">
        <v>15</v>
      </c>
      <c r="I748">
        <v>0</v>
      </c>
      <c r="J748" t="s">
        <v>47</v>
      </c>
      <c r="K748" t="s">
        <v>32</v>
      </c>
      <c r="L748">
        <v>56</v>
      </c>
      <c r="M748" t="str">
        <f t="shared" si="11"/>
        <v>Old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Adolescent</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Adolescent</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Adolescent</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Adolescent</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Middle age</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Adolescent</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Adolescent</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Adolescent</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Adolescent</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Adolescent</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Adolescent</v>
      </c>
      <c r="N762" t="s">
        <v>18</v>
      </c>
    </row>
    <row r="763" spans="1:14" x14ac:dyDescent="0.3">
      <c r="A763">
        <v>13216</v>
      </c>
      <c r="B763" t="s">
        <v>36</v>
      </c>
      <c r="C763" t="s">
        <v>38</v>
      </c>
      <c r="D763" s="3">
        <v>60000</v>
      </c>
      <c r="E763">
        <v>5</v>
      </c>
      <c r="F763" t="s">
        <v>13</v>
      </c>
      <c r="G763" t="s">
        <v>28</v>
      </c>
      <c r="H763" t="s">
        <v>15</v>
      </c>
      <c r="I763">
        <v>3</v>
      </c>
      <c r="J763" t="s">
        <v>47</v>
      </c>
      <c r="K763" t="s">
        <v>32</v>
      </c>
      <c r="L763">
        <v>59</v>
      </c>
      <c r="M763" t="str">
        <f t="shared" si="11"/>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Adolescent</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Adolescent</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Middle age</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Adolescent</v>
      </c>
      <c r="N767" t="s">
        <v>15</v>
      </c>
    </row>
    <row r="768" spans="1:14" x14ac:dyDescent="0.3">
      <c r="A768">
        <v>14608</v>
      </c>
      <c r="B768" t="s">
        <v>36</v>
      </c>
      <c r="C768" t="s">
        <v>39</v>
      </c>
      <c r="D768" s="3">
        <v>50000</v>
      </c>
      <c r="E768">
        <v>4</v>
      </c>
      <c r="F768" t="s">
        <v>13</v>
      </c>
      <c r="G768" t="s">
        <v>14</v>
      </c>
      <c r="H768" t="s">
        <v>15</v>
      </c>
      <c r="I768">
        <v>3</v>
      </c>
      <c r="J768" t="s">
        <v>47</v>
      </c>
      <c r="K768" t="s">
        <v>32</v>
      </c>
      <c r="L768">
        <v>42</v>
      </c>
      <c r="M768" t="str">
        <f t="shared" si="11"/>
        <v>Adolescent</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si="11"/>
        <v>Adolescent</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ref="M771:M834" si="12">IF(L771&gt;54,"Old",IF(L771 &gt;31,"Adolescent",IF(L771&lt;=31,"Middle age","invalid")))</f>
        <v>Adolescent</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Adolescent</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Adolescent</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Adolescent</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Adolescent</v>
      </c>
      <c r="N776" t="s">
        <v>15</v>
      </c>
    </row>
    <row r="777" spans="1:14" x14ac:dyDescent="0.3">
      <c r="A777">
        <v>29030</v>
      </c>
      <c r="B777" t="s">
        <v>36</v>
      </c>
      <c r="C777" t="s">
        <v>39</v>
      </c>
      <c r="D777" s="3">
        <v>70000</v>
      </c>
      <c r="E777">
        <v>2</v>
      </c>
      <c r="F777" t="s">
        <v>29</v>
      </c>
      <c r="G777" t="s">
        <v>14</v>
      </c>
      <c r="H777" t="s">
        <v>15</v>
      </c>
      <c r="I777">
        <v>2</v>
      </c>
      <c r="J777" t="s">
        <v>47</v>
      </c>
      <c r="K777" t="s">
        <v>32</v>
      </c>
      <c r="L777">
        <v>54</v>
      </c>
      <c r="M777" t="str">
        <f t="shared" si="12"/>
        <v>Adolescent</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Middle age</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Adolescent</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Adolescent</v>
      </c>
      <c r="N781" t="s">
        <v>15</v>
      </c>
    </row>
    <row r="782" spans="1:14" x14ac:dyDescent="0.3">
      <c r="A782">
        <v>18105</v>
      </c>
      <c r="B782" t="s">
        <v>36</v>
      </c>
      <c r="C782" t="s">
        <v>38</v>
      </c>
      <c r="D782" s="3">
        <v>60000</v>
      </c>
      <c r="E782">
        <v>2</v>
      </c>
      <c r="F782" t="s">
        <v>19</v>
      </c>
      <c r="G782" t="s">
        <v>21</v>
      </c>
      <c r="H782" t="s">
        <v>15</v>
      </c>
      <c r="I782">
        <v>1</v>
      </c>
      <c r="J782" t="s">
        <v>47</v>
      </c>
      <c r="K782" t="s">
        <v>32</v>
      </c>
      <c r="L782">
        <v>55</v>
      </c>
      <c r="M782" t="str">
        <f t="shared" si="12"/>
        <v>Old</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Adolescent</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Adolescent</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Adolescent</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Adolescent</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Middle age</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Adolescent</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Adolescent</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Adolescent</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Adolescent</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Middle age</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Adolescent</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Adolescent</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Adolescent</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Middle age</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Middle age</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Adolescent</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Adolescent</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Middle age</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Middle age</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Middle age</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Adolescent</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Adolescent</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Adolescent</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Adolescent</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38</v>
      </c>
      <c r="D814" s="3">
        <v>70000</v>
      </c>
      <c r="E814">
        <v>4</v>
      </c>
      <c r="F814" t="s">
        <v>13</v>
      </c>
      <c r="G814" t="s">
        <v>28</v>
      </c>
      <c r="H814" t="s">
        <v>15</v>
      </c>
      <c r="I814">
        <v>2</v>
      </c>
      <c r="J814" t="s">
        <v>47</v>
      </c>
      <c r="K814" t="s">
        <v>32</v>
      </c>
      <c r="L814">
        <v>61</v>
      </c>
      <c r="M814" t="str">
        <f t="shared" si="12"/>
        <v>Old</v>
      </c>
      <c r="N814" t="s">
        <v>18</v>
      </c>
    </row>
    <row r="815" spans="1:14" x14ac:dyDescent="0.3">
      <c r="A815">
        <v>25899</v>
      </c>
      <c r="B815" t="s">
        <v>36</v>
      </c>
      <c r="C815" t="s">
        <v>38</v>
      </c>
      <c r="D815" s="3">
        <v>70000</v>
      </c>
      <c r="E815">
        <v>2</v>
      </c>
      <c r="F815" t="s">
        <v>27</v>
      </c>
      <c r="G815" t="s">
        <v>21</v>
      </c>
      <c r="H815" t="s">
        <v>15</v>
      </c>
      <c r="I815">
        <v>2</v>
      </c>
      <c r="J815" t="s">
        <v>47</v>
      </c>
      <c r="K815" t="s">
        <v>32</v>
      </c>
      <c r="L815">
        <v>53</v>
      </c>
      <c r="M815" t="str">
        <f t="shared" si="12"/>
        <v>Adolescent</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Middle age</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Adolescent</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Adolescent</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Middle age</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Middle age</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Adolescent</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Adolescent</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Adolescent</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Adolescent</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Adolescent</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Adolescent</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Adolescent</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Adolescent</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Middle age</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Adolescent</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Adolescent</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si="12"/>
        <v>Adolescent</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ref="M835:M898" si="13">IF(L835&gt;54,"Old",IF(L835 &gt;31,"Adolescent",IF(L835&lt;=31,"Middle age","invalid")))</f>
        <v>Adolescent</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Adolescent</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Adolescent</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Middle age</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Adolescent</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Adolescent</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Adolescent</v>
      </c>
      <c r="N841" t="s">
        <v>15</v>
      </c>
    </row>
    <row r="842" spans="1:14" x14ac:dyDescent="0.3">
      <c r="A842">
        <v>11233</v>
      </c>
      <c r="B842" t="s">
        <v>36</v>
      </c>
      <c r="C842" t="s">
        <v>39</v>
      </c>
      <c r="D842" s="3">
        <v>70000</v>
      </c>
      <c r="E842">
        <v>4</v>
      </c>
      <c r="F842" t="s">
        <v>19</v>
      </c>
      <c r="G842" t="s">
        <v>21</v>
      </c>
      <c r="H842" t="s">
        <v>15</v>
      </c>
      <c r="I842">
        <v>2</v>
      </c>
      <c r="J842" t="s">
        <v>47</v>
      </c>
      <c r="K842" t="s">
        <v>32</v>
      </c>
      <c r="L842">
        <v>53</v>
      </c>
      <c r="M842" t="str">
        <f t="shared" si="13"/>
        <v>Adolescent</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Adolescent</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Adolescent</v>
      </c>
      <c r="N845" t="s">
        <v>18</v>
      </c>
    </row>
    <row r="846" spans="1:14" x14ac:dyDescent="0.3">
      <c r="A846">
        <v>22743</v>
      </c>
      <c r="B846" t="s">
        <v>36</v>
      </c>
      <c r="C846" t="s">
        <v>38</v>
      </c>
      <c r="D846" s="3">
        <v>40000</v>
      </c>
      <c r="E846">
        <v>5</v>
      </c>
      <c r="F846" t="s">
        <v>27</v>
      </c>
      <c r="G846" t="s">
        <v>21</v>
      </c>
      <c r="H846" t="s">
        <v>15</v>
      </c>
      <c r="I846">
        <v>2</v>
      </c>
      <c r="J846" t="s">
        <v>47</v>
      </c>
      <c r="K846" t="s">
        <v>32</v>
      </c>
      <c r="L846">
        <v>60</v>
      </c>
      <c r="M846" t="str">
        <f t="shared" si="13"/>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Adolescent</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Middle age</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Adolescent</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Adolescent</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Adolescent</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Adolescent</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Adolescent</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Middle age</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Adolescent</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Adolescent</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Adolescent</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Adolescent</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Adolescent</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Adolescent</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Adolescent</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Adolescent</v>
      </c>
      <c r="N867" t="s">
        <v>15</v>
      </c>
    </row>
    <row r="868" spans="1:14" x14ac:dyDescent="0.3">
      <c r="A868">
        <v>28052</v>
      </c>
      <c r="B868" t="s">
        <v>36</v>
      </c>
      <c r="C868" t="s">
        <v>39</v>
      </c>
      <c r="D868" s="3">
        <v>60000</v>
      </c>
      <c r="E868">
        <v>2</v>
      </c>
      <c r="F868" t="s">
        <v>27</v>
      </c>
      <c r="G868" t="s">
        <v>21</v>
      </c>
      <c r="H868" t="s">
        <v>15</v>
      </c>
      <c r="I868">
        <v>2</v>
      </c>
      <c r="J868" t="s">
        <v>47</v>
      </c>
      <c r="K868" t="s">
        <v>32</v>
      </c>
      <c r="L868">
        <v>55</v>
      </c>
      <c r="M868" t="str">
        <f t="shared" si="13"/>
        <v>Old</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Adolescent</v>
      </c>
      <c r="N869" t="s">
        <v>18</v>
      </c>
    </row>
    <row r="870" spans="1:14" x14ac:dyDescent="0.3">
      <c r="A870">
        <v>24955</v>
      </c>
      <c r="B870" t="s">
        <v>37</v>
      </c>
      <c r="C870" t="s">
        <v>39</v>
      </c>
      <c r="D870" s="3">
        <v>30000</v>
      </c>
      <c r="E870">
        <v>5</v>
      </c>
      <c r="F870" t="s">
        <v>29</v>
      </c>
      <c r="G870" t="s">
        <v>14</v>
      </c>
      <c r="H870" t="s">
        <v>15</v>
      </c>
      <c r="I870">
        <v>3</v>
      </c>
      <c r="J870" t="s">
        <v>47</v>
      </c>
      <c r="K870" t="s">
        <v>32</v>
      </c>
      <c r="L870">
        <v>60</v>
      </c>
      <c r="M870" t="str">
        <f t="shared" si="13"/>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Adolescent</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Adolescent</v>
      </c>
      <c r="N872" t="s">
        <v>18</v>
      </c>
    </row>
    <row r="873" spans="1:14" x14ac:dyDescent="0.3">
      <c r="A873">
        <v>11219</v>
      </c>
      <c r="B873" t="s">
        <v>36</v>
      </c>
      <c r="C873" t="s">
        <v>39</v>
      </c>
      <c r="D873" s="3">
        <v>60000</v>
      </c>
      <c r="E873">
        <v>2</v>
      </c>
      <c r="F873" t="s">
        <v>27</v>
      </c>
      <c r="G873" t="s">
        <v>21</v>
      </c>
      <c r="H873" t="s">
        <v>15</v>
      </c>
      <c r="I873">
        <v>2</v>
      </c>
      <c r="J873" t="s">
        <v>47</v>
      </c>
      <c r="K873" t="s">
        <v>32</v>
      </c>
      <c r="L873">
        <v>55</v>
      </c>
      <c r="M873" t="str">
        <f t="shared" si="13"/>
        <v>Old</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Adolescent</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Adolescent</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Adolescent</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Adolescent</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Middle age</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Adolescent</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Adolescent</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Adolescent</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Adolescent</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Adolescent</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Adolescent</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Adolescent</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Adolescent</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Adolescent</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Adolescent</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Adolescent</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Adolescent</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Adolescent</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3"/>
        <v>Adolescent</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IF(L899&gt;54,"Old",IF(L899 &gt;31,"Adolescent",IF(L899&lt;=31,"Middle age","invalid")))</f>
        <v>Middle age</v>
      </c>
      <c r="N899" t="s">
        <v>18</v>
      </c>
    </row>
    <row r="900" spans="1:14" x14ac:dyDescent="0.3">
      <c r="A900">
        <v>18066</v>
      </c>
      <c r="B900" t="s">
        <v>37</v>
      </c>
      <c r="C900" t="s">
        <v>39</v>
      </c>
      <c r="D900" s="3">
        <v>70000</v>
      </c>
      <c r="E900">
        <v>5</v>
      </c>
      <c r="F900" t="s">
        <v>13</v>
      </c>
      <c r="G900" t="s">
        <v>28</v>
      </c>
      <c r="H900" t="s">
        <v>15</v>
      </c>
      <c r="I900">
        <v>3</v>
      </c>
      <c r="J900" t="s">
        <v>47</v>
      </c>
      <c r="K900" t="s">
        <v>32</v>
      </c>
      <c r="L900">
        <v>60</v>
      </c>
      <c r="M900" t="str">
        <f t="shared" si="14"/>
        <v>Old</v>
      </c>
      <c r="N900" t="s">
        <v>15</v>
      </c>
    </row>
    <row r="901" spans="1:14" x14ac:dyDescent="0.3">
      <c r="A901">
        <v>28192</v>
      </c>
      <c r="B901" t="s">
        <v>36</v>
      </c>
      <c r="C901" t="s">
        <v>38</v>
      </c>
      <c r="D901" s="3">
        <v>70000</v>
      </c>
      <c r="E901">
        <v>5</v>
      </c>
      <c r="F901" t="s">
        <v>31</v>
      </c>
      <c r="G901" t="s">
        <v>21</v>
      </c>
      <c r="H901" t="s">
        <v>15</v>
      </c>
      <c r="I901">
        <v>3</v>
      </c>
      <c r="J901" t="s">
        <v>47</v>
      </c>
      <c r="K901" t="s">
        <v>32</v>
      </c>
      <c r="L901">
        <v>46</v>
      </c>
      <c r="M901" t="str">
        <f t="shared" si="14"/>
        <v>Adolescent</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Adolescent</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Adolescent</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Adolescent</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Adolescent</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Adolescent</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Adolescent</v>
      </c>
      <c r="N908" t="s">
        <v>15</v>
      </c>
    </row>
    <row r="909" spans="1:14" x14ac:dyDescent="0.3">
      <c r="A909">
        <v>19747</v>
      </c>
      <c r="B909" t="s">
        <v>36</v>
      </c>
      <c r="C909" t="s">
        <v>39</v>
      </c>
      <c r="D909" s="3">
        <v>50000</v>
      </c>
      <c r="E909">
        <v>4</v>
      </c>
      <c r="F909" t="s">
        <v>13</v>
      </c>
      <c r="G909" t="s">
        <v>28</v>
      </c>
      <c r="H909" t="s">
        <v>15</v>
      </c>
      <c r="I909">
        <v>2</v>
      </c>
      <c r="J909" t="s">
        <v>47</v>
      </c>
      <c r="K909" t="s">
        <v>32</v>
      </c>
      <c r="L909">
        <v>63</v>
      </c>
      <c r="M909" t="str">
        <f t="shared" si="14"/>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Adolescent</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Adolescent</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Adolescent</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Adolescent</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Adolescent</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Adolescent</v>
      </c>
      <c r="N916" t="s">
        <v>18</v>
      </c>
    </row>
    <row r="917" spans="1:14" x14ac:dyDescent="0.3">
      <c r="A917">
        <v>21752</v>
      </c>
      <c r="B917" t="s">
        <v>36</v>
      </c>
      <c r="C917" t="s">
        <v>39</v>
      </c>
      <c r="D917" s="3">
        <v>60000</v>
      </c>
      <c r="E917">
        <v>3</v>
      </c>
      <c r="F917" t="s">
        <v>31</v>
      </c>
      <c r="G917" t="s">
        <v>28</v>
      </c>
      <c r="H917" t="s">
        <v>15</v>
      </c>
      <c r="I917">
        <v>2</v>
      </c>
      <c r="J917" t="s">
        <v>47</v>
      </c>
      <c r="K917" t="s">
        <v>32</v>
      </c>
      <c r="L917">
        <v>64</v>
      </c>
      <c r="M917" t="str">
        <f t="shared" si="14"/>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Adolescent</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Adolescent</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Adolescent</v>
      </c>
      <c r="N920" t="s">
        <v>15</v>
      </c>
    </row>
    <row r="921" spans="1:14" x14ac:dyDescent="0.3">
      <c r="A921">
        <v>21451</v>
      </c>
      <c r="B921" t="s">
        <v>36</v>
      </c>
      <c r="C921" t="s">
        <v>38</v>
      </c>
      <c r="D921" s="3">
        <v>40000</v>
      </c>
      <c r="E921">
        <v>4</v>
      </c>
      <c r="F921" t="s">
        <v>27</v>
      </c>
      <c r="G921" t="s">
        <v>21</v>
      </c>
      <c r="H921" t="s">
        <v>15</v>
      </c>
      <c r="I921">
        <v>2</v>
      </c>
      <c r="J921" t="s">
        <v>47</v>
      </c>
      <c r="K921" t="s">
        <v>32</v>
      </c>
      <c r="L921">
        <v>61</v>
      </c>
      <c r="M921" t="str">
        <f t="shared" si="14"/>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Adolescent</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Adolescent</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Adolescent</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Adolescent</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Adolescent</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Adolescent</v>
      </c>
      <c r="N927" t="s">
        <v>15</v>
      </c>
    </row>
    <row r="928" spans="1:14" x14ac:dyDescent="0.3">
      <c r="A928">
        <v>26495</v>
      </c>
      <c r="B928" t="s">
        <v>37</v>
      </c>
      <c r="C928" t="s">
        <v>38</v>
      </c>
      <c r="D928" s="3">
        <v>40000</v>
      </c>
      <c r="E928">
        <v>2</v>
      </c>
      <c r="F928" t="s">
        <v>27</v>
      </c>
      <c r="G928" t="s">
        <v>21</v>
      </c>
      <c r="H928" t="s">
        <v>15</v>
      </c>
      <c r="I928">
        <v>2</v>
      </c>
      <c r="J928" t="s">
        <v>47</v>
      </c>
      <c r="K928" t="s">
        <v>32</v>
      </c>
      <c r="L928">
        <v>57</v>
      </c>
      <c r="M928" t="str">
        <f t="shared" si="14"/>
        <v>Old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Adolescent</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Adolescent</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Adolescent</v>
      </c>
      <c r="N931" t="s">
        <v>18</v>
      </c>
    </row>
    <row r="932" spans="1:14" x14ac:dyDescent="0.3">
      <c r="A932">
        <v>19543</v>
      </c>
      <c r="B932" t="s">
        <v>36</v>
      </c>
      <c r="C932" t="s">
        <v>39</v>
      </c>
      <c r="D932" s="3">
        <v>70000</v>
      </c>
      <c r="E932">
        <v>5</v>
      </c>
      <c r="F932" t="s">
        <v>31</v>
      </c>
      <c r="G932" t="s">
        <v>21</v>
      </c>
      <c r="H932" t="s">
        <v>18</v>
      </c>
      <c r="I932">
        <v>3</v>
      </c>
      <c r="J932" t="s">
        <v>47</v>
      </c>
      <c r="K932" t="s">
        <v>32</v>
      </c>
      <c r="L932">
        <v>47</v>
      </c>
      <c r="M932" t="str">
        <f t="shared" si="14"/>
        <v>Adolescent</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Adolescent</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Middle age</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Middle age</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Adolescent</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Adolescent</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Middle age</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Adolescent</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Adolescent</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Adolescent</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Adolescent</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Adolescent</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Adolescent</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Adolescent</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Adolescent</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Adolescent</v>
      </c>
      <c r="N950" t="s">
        <v>18</v>
      </c>
    </row>
    <row r="951" spans="1:14" x14ac:dyDescent="0.3">
      <c r="A951">
        <v>28056</v>
      </c>
      <c r="B951" t="s">
        <v>36</v>
      </c>
      <c r="C951" t="s">
        <v>39</v>
      </c>
      <c r="D951" s="3">
        <v>70000</v>
      </c>
      <c r="E951">
        <v>2</v>
      </c>
      <c r="F951" t="s">
        <v>29</v>
      </c>
      <c r="G951" t="s">
        <v>14</v>
      </c>
      <c r="H951" t="s">
        <v>15</v>
      </c>
      <c r="I951">
        <v>2</v>
      </c>
      <c r="J951" t="s">
        <v>47</v>
      </c>
      <c r="K951" t="s">
        <v>32</v>
      </c>
      <c r="L951">
        <v>53</v>
      </c>
      <c r="M951" t="str">
        <f t="shared" si="14"/>
        <v>Adolescent</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Adolescent</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Adolescent</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Middle age</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Adolescent</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Adolescent</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Adolescent</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Middle age</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Adolescent</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Adolescent</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Adolescent</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ref="M963:M1001" si="15">IF(L963&gt;54,"Old",IF(L963 &gt;31,"Adolescent",IF(L963&lt;=31,"Middle age","invalid")))</f>
        <v>Old</v>
      </c>
      <c r="N963" t="s">
        <v>18</v>
      </c>
    </row>
    <row r="964" spans="1:14" x14ac:dyDescent="0.3">
      <c r="A964">
        <v>16813</v>
      </c>
      <c r="B964" t="s">
        <v>36</v>
      </c>
      <c r="C964" t="s">
        <v>39</v>
      </c>
      <c r="D964" s="3">
        <v>60000</v>
      </c>
      <c r="E964">
        <v>2</v>
      </c>
      <c r="F964" t="s">
        <v>19</v>
      </c>
      <c r="G964" t="s">
        <v>21</v>
      </c>
      <c r="H964" t="s">
        <v>15</v>
      </c>
      <c r="I964">
        <v>2</v>
      </c>
      <c r="J964" t="s">
        <v>47</v>
      </c>
      <c r="K964" t="s">
        <v>32</v>
      </c>
      <c r="L964">
        <v>55</v>
      </c>
      <c r="M964" t="str">
        <f t="shared" si="15"/>
        <v>Old</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3">
        <v>70000</v>
      </c>
      <c r="E966">
        <v>4</v>
      </c>
      <c r="F966" t="s">
        <v>19</v>
      </c>
      <c r="G966" t="s">
        <v>21</v>
      </c>
      <c r="H966" t="s">
        <v>15</v>
      </c>
      <c r="I966">
        <v>1</v>
      </c>
      <c r="J966" t="s">
        <v>47</v>
      </c>
      <c r="K966" t="s">
        <v>32</v>
      </c>
      <c r="L966">
        <v>56</v>
      </c>
      <c r="M966" t="str">
        <f t="shared" si="15"/>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Adolescent</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Adolescent</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Middle age</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Adolescent</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Adolescent</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Adolescent</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Adolescent</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Adolescent</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Adolescent</v>
      </c>
      <c r="N977" t="s">
        <v>15</v>
      </c>
    </row>
    <row r="978" spans="1:14" x14ac:dyDescent="0.3">
      <c r="A978">
        <v>28004</v>
      </c>
      <c r="B978" t="s">
        <v>36</v>
      </c>
      <c r="C978" t="s">
        <v>38</v>
      </c>
      <c r="D978" s="3">
        <v>60000</v>
      </c>
      <c r="E978">
        <v>3</v>
      </c>
      <c r="F978" t="s">
        <v>13</v>
      </c>
      <c r="G978" t="s">
        <v>28</v>
      </c>
      <c r="H978" t="s">
        <v>15</v>
      </c>
      <c r="I978">
        <v>2</v>
      </c>
      <c r="J978" t="s">
        <v>47</v>
      </c>
      <c r="K978" t="s">
        <v>32</v>
      </c>
      <c r="L978">
        <v>66</v>
      </c>
      <c r="M978" t="str">
        <f t="shared" si="15"/>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Adolescent</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38</v>
      </c>
      <c r="D982" s="3">
        <v>80000</v>
      </c>
      <c r="E982">
        <v>3</v>
      </c>
      <c r="F982" t="s">
        <v>13</v>
      </c>
      <c r="G982" t="s">
        <v>14</v>
      </c>
      <c r="H982" t="s">
        <v>15</v>
      </c>
      <c r="I982">
        <v>3</v>
      </c>
      <c r="J982" t="s">
        <v>47</v>
      </c>
      <c r="K982" t="s">
        <v>32</v>
      </c>
      <c r="L982">
        <v>40</v>
      </c>
      <c r="M982" t="str">
        <f t="shared" si="15"/>
        <v>Adolescent</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Adolescent</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Adolescent</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Adolescent</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Adolescent</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Adolescent</v>
      </c>
      <c r="N987" t="s">
        <v>18</v>
      </c>
    </row>
    <row r="988" spans="1:14" x14ac:dyDescent="0.3">
      <c r="A988">
        <v>23704</v>
      </c>
      <c r="B988" t="s">
        <v>37</v>
      </c>
      <c r="C988" t="s">
        <v>39</v>
      </c>
      <c r="D988" s="3">
        <v>40000</v>
      </c>
      <c r="E988">
        <v>5</v>
      </c>
      <c r="F988" t="s">
        <v>27</v>
      </c>
      <c r="G988" t="s">
        <v>21</v>
      </c>
      <c r="H988" t="s">
        <v>15</v>
      </c>
      <c r="I988">
        <v>4</v>
      </c>
      <c r="J988" t="s">
        <v>47</v>
      </c>
      <c r="K988" t="s">
        <v>32</v>
      </c>
      <c r="L988">
        <v>60</v>
      </c>
      <c r="M988" t="str">
        <f t="shared" si="15"/>
        <v>Old</v>
      </c>
      <c r="N988" t="s">
        <v>15</v>
      </c>
    </row>
    <row r="989" spans="1:14" x14ac:dyDescent="0.3">
      <c r="A989">
        <v>28972</v>
      </c>
      <c r="B989" t="s">
        <v>37</v>
      </c>
      <c r="C989" t="s">
        <v>38</v>
      </c>
      <c r="D989" s="3">
        <v>60000</v>
      </c>
      <c r="E989">
        <v>3</v>
      </c>
      <c r="F989" t="s">
        <v>31</v>
      </c>
      <c r="G989" t="s">
        <v>28</v>
      </c>
      <c r="H989" t="s">
        <v>15</v>
      </c>
      <c r="I989">
        <v>2</v>
      </c>
      <c r="J989" t="s">
        <v>47</v>
      </c>
      <c r="K989" t="s">
        <v>32</v>
      </c>
      <c r="L989">
        <v>66</v>
      </c>
      <c r="M989" t="str">
        <f t="shared" si="15"/>
        <v>Old</v>
      </c>
      <c r="N989" t="s">
        <v>18</v>
      </c>
    </row>
    <row r="990" spans="1:14" x14ac:dyDescent="0.3">
      <c r="A990">
        <v>22730</v>
      </c>
      <c r="B990" t="s">
        <v>36</v>
      </c>
      <c r="C990" t="s">
        <v>39</v>
      </c>
      <c r="D990" s="3">
        <v>70000</v>
      </c>
      <c r="E990">
        <v>5</v>
      </c>
      <c r="F990" t="s">
        <v>13</v>
      </c>
      <c r="G990" t="s">
        <v>28</v>
      </c>
      <c r="H990" t="s">
        <v>15</v>
      </c>
      <c r="I990">
        <v>2</v>
      </c>
      <c r="J990" t="s">
        <v>47</v>
      </c>
      <c r="K990" t="s">
        <v>32</v>
      </c>
      <c r="L990">
        <v>63</v>
      </c>
      <c r="M990" t="str">
        <f t="shared" si="15"/>
        <v>Old</v>
      </c>
      <c r="N990" t="s">
        <v>18</v>
      </c>
    </row>
    <row r="991" spans="1:14" x14ac:dyDescent="0.3">
      <c r="A991">
        <v>29134</v>
      </c>
      <c r="B991" t="s">
        <v>36</v>
      </c>
      <c r="C991" t="s">
        <v>39</v>
      </c>
      <c r="D991" s="3">
        <v>60000</v>
      </c>
      <c r="E991">
        <v>4</v>
      </c>
      <c r="F991" t="s">
        <v>13</v>
      </c>
      <c r="G991" t="s">
        <v>14</v>
      </c>
      <c r="H991" t="s">
        <v>18</v>
      </c>
      <c r="I991">
        <v>3</v>
      </c>
      <c r="J991" t="s">
        <v>47</v>
      </c>
      <c r="K991" t="s">
        <v>32</v>
      </c>
      <c r="L991">
        <v>42</v>
      </c>
      <c r="M991" t="str">
        <f t="shared" si="15"/>
        <v>Adolescent</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Middle age</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Adolescent</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Adolescent</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Adolescent</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Adolescent</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Adolescent</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Adolescent</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Adolescent</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Adolescent</v>
      </c>
      <c r="N1000" t="s">
        <v>18</v>
      </c>
    </row>
    <row r="1001" spans="1:14" x14ac:dyDescent="0.3">
      <c r="A1001">
        <v>12121</v>
      </c>
      <c r="B1001" t="s">
        <v>37</v>
      </c>
      <c r="C1001" t="s">
        <v>39</v>
      </c>
      <c r="D1001" s="3">
        <v>60000</v>
      </c>
      <c r="E1001">
        <v>3</v>
      </c>
      <c r="F1001" t="s">
        <v>27</v>
      </c>
      <c r="G1001" t="s">
        <v>21</v>
      </c>
      <c r="H1001" t="s">
        <v>15</v>
      </c>
      <c r="I1001">
        <v>2</v>
      </c>
      <c r="J1001" t="s">
        <v>47</v>
      </c>
      <c r="K1001" t="s">
        <v>32</v>
      </c>
      <c r="L1001">
        <v>53</v>
      </c>
      <c r="M1001" t="str">
        <f t="shared" si="15"/>
        <v>Adolescent</v>
      </c>
      <c r="N1001" t="s">
        <v>15</v>
      </c>
    </row>
  </sheetData>
  <autoFilter ref="A1:N1001" xr:uid="{A77EA80A-16D9-42A5-ACC2-189A719D28C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879CB-61E0-4D34-B2A7-C0ECC488B1DD}">
  <dimension ref="A4:D119"/>
  <sheetViews>
    <sheetView tabSelected="1" topLeftCell="A40" workbookViewId="0">
      <selection activeCell="A64" sqref="A64:D119"/>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4" spans="1:4" x14ac:dyDescent="0.3">
      <c r="A4" s="6" t="s">
        <v>44</v>
      </c>
      <c r="B4" s="6" t="s">
        <v>45</v>
      </c>
      <c r="C4" s="7"/>
      <c r="D4" s="7"/>
    </row>
    <row r="5" spans="1:4" x14ac:dyDescent="0.3">
      <c r="A5" s="6" t="s">
        <v>42</v>
      </c>
      <c r="B5" s="7" t="s">
        <v>18</v>
      </c>
      <c r="C5" s="7" t="s">
        <v>15</v>
      </c>
      <c r="D5" s="7" t="s">
        <v>43</v>
      </c>
    </row>
    <row r="6" spans="1:4" x14ac:dyDescent="0.3">
      <c r="A6" s="8" t="s">
        <v>38</v>
      </c>
      <c r="B6" s="7">
        <v>53440</v>
      </c>
      <c r="C6" s="7">
        <v>55774.058577405856</v>
      </c>
      <c r="D6" s="7">
        <v>54580.777096114522</v>
      </c>
    </row>
    <row r="7" spans="1:4" x14ac:dyDescent="0.3">
      <c r="A7" s="8" t="s">
        <v>39</v>
      </c>
      <c r="B7" s="7">
        <v>56208.178438661707</v>
      </c>
      <c r="C7" s="7">
        <v>60123.966942148763</v>
      </c>
      <c r="D7" s="7">
        <v>58062.62230919765</v>
      </c>
    </row>
    <row r="8" spans="1:4" x14ac:dyDescent="0.3">
      <c r="A8" s="8" t="s">
        <v>43</v>
      </c>
      <c r="B8" s="7">
        <v>54874.759152215796</v>
      </c>
      <c r="C8" s="7">
        <v>57962.577962577961</v>
      </c>
      <c r="D8" s="7">
        <v>56360</v>
      </c>
    </row>
    <row r="24" spans="1:4" x14ac:dyDescent="0.3">
      <c r="A24" s="4" t="s">
        <v>46</v>
      </c>
      <c r="B24" s="4" t="s">
        <v>45</v>
      </c>
    </row>
    <row r="25" spans="1:4" x14ac:dyDescent="0.3">
      <c r="A25" s="4" t="s">
        <v>42</v>
      </c>
      <c r="B25" t="s">
        <v>18</v>
      </c>
      <c r="C25" t="s">
        <v>15</v>
      </c>
      <c r="D25" t="s">
        <v>43</v>
      </c>
    </row>
    <row r="26" spans="1:4" x14ac:dyDescent="0.3">
      <c r="A26" s="5" t="s">
        <v>16</v>
      </c>
      <c r="B26">
        <v>166</v>
      </c>
      <c r="C26">
        <v>200</v>
      </c>
      <c r="D26">
        <v>366</v>
      </c>
    </row>
    <row r="27" spans="1:4" x14ac:dyDescent="0.3">
      <c r="A27" s="5" t="s">
        <v>26</v>
      </c>
      <c r="B27">
        <v>92</v>
      </c>
      <c r="C27">
        <v>77</v>
      </c>
      <c r="D27">
        <v>169</v>
      </c>
    </row>
    <row r="28" spans="1:4" x14ac:dyDescent="0.3">
      <c r="A28" s="5" t="s">
        <v>22</v>
      </c>
      <c r="B28">
        <v>67</v>
      </c>
      <c r="C28">
        <v>95</v>
      </c>
      <c r="D28">
        <v>162</v>
      </c>
    </row>
    <row r="29" spans="1:4" x14ac:dyDescent="0.3">
      <c r="A29" s="5" t="s">
        <v>23</v>
      </c>
      <c r="B29">
        <v>116</v>
      </c>
      <c r="C29">
        <v>76</v>
      </c>
      <c r="D29">
        <v>192</v>
      </c>
    </row>
    <row r="30" spans="1:4" x14ac:dyDescent="0.3">
      <c r="A30" s="5" t="s">
        <v>47</v>
      </c>
      <c r="B30">
        <v>78</v>
      </c>
      <c r="C30">
        <v>33</v>
      </c>
      <c r="D30">
        <v>111</v>
      </c>
    </row>
    <row r="31" spans="1:4" x14ac:dyDescent="0.3">
      <c r="A31" s="5" t="s">
        <v>43</v>
      </c>
      <c r="B31">
        <v>519</v>
      </c>
      <c r="C31">
        <v>481</v>
      </c>
      <c r="D31">
        <v>1000</v>
      </c>
    </row>
    <row r="43" spans="1:4" x14ac:dyDescent="0.3">
      <c r="A43" s="4" t="s">
        <v>46</v>
      </c>
      <c r="B43" s="4" t="s">
        <v>45</v>
      </c>
    </row>
    <row r="44" spans="1:4" x14ac:dyDescent="0.3">
      <c r="A44" s="4" t="s">
        <v>42</v>
      </c>
      <c r="B44" t="s">
        <v>18</v>
      </c>
      <c r="C44" t="s">
        <v>15</v>
      </c>
      <c r="D44" t="s">
        <v>43</v>
      </c>
    </row>
    <row r="45" spans="1:4" x14ac:dyDescent="0.3">
      <c r="A45" s="5" t="s">
        <v>48</v>
      </c>
      <c r="B45">
        <v>301</v>
      </c>
      <c r="C45">
        <v>375</v>
      </c>
      <c r="D45">
        <v>676</v>
      </c>
    </row>
    <row r="46" spans="1:4" x14ac:dyDescent="0.3">
      <c r="A46" s="5" t="s">
        <v>49</v>
      </c>
      <c r="B46">
        <v>88</v>
      </c>
      <c r="C46">
        <v>47</v>
      </c>
      <c r="D46">
        <v>135</v>
      </c>
    </row>
    <row r="47" spans="1:4" x14ac:dyDescent="0.3">
      <c r="A47" s="5" t="s">
        <v>50</v>
      </c>
      <c r="B47">
        <v>130</v>
      </c>
      <c r="C47">
        <v>59</v>
      </c>
      <c r="D47">
        <v>189</v>
      </c>
    </row>
    <row r="48" spans="1:4" x14ac:dyDescent="0.3">
      <c r="A48" s="5" t="s">
        <v>43</v>
      </c>
      <c r="B48">
        <v>519</v>
      </c>
      <c r="C48">
        <v>481</v>
      </c>
      <c r="D48">
        <v>1000</v>
      </c>
    </row>
    <row r="64" spans="1:2" x14ac:dyDescent="0.3">
      <c r="A64" s="4" t="s">
        <v>46</v>
      </c>
      <c r="B64" s="4" t="s">
        <v>45</v>
      </c>
    </row>
    <row r="65" spans="1:4" x14ac:dyDescent="0.3">
      <c r="A65" s="4" t="s">
        <v>42</v>
      </c>
      <c r="B65" t="s">
        <v>18</v>
      </c>
      <c r="C65" t="s">
        <v>15</v>
      </c>
      <c r="D65" t="s">
        <v>43</v>
      </c>
    </row>
    <row r="66" spans="1:4" x14ac:dyDescent="0.3">
      <c r="A66" s="5">
        <v>25</v>
      </c>
      <c r="B66">
        <v>2</v>
      </c>
      <c r="C66">
        <v>4</v>
      </c>
      <c r="D66">
        <v>6</v>
      </c>
    </row>
    <row r="67" spans="1:4" x14ac:dyDescent="0.3">
      <c r="A67" s="5">
        <v>26</v>
      </c>
      <c r="B67">
        <v>8</v>
      </c>
      <c r="C67">
        <v>8</v>
      </c>
      <c r="D67">
        <v>16</v>
      </c>
    </row>
    <row r="68" spans="1:4" x14ac:dyDescent="0.3">
      <c r="A68" s="5">
        <v>27</v>
      </c>
      <c r="B68">
        <v>15</v>
      </c>
      <c r="C68">
        <v>8</v>
      </c>
      <c r="D68">
        <v>23</v>
      </c>
    </row>
    <row r="69" spans="1:4" x14ac:dyDescent="0.3">
      <c r="A69" s="5">
        <v>28</v>
      </c>
      <c r="B69">
        <v>12</v>
      </c>
      <c r="C69">
        <v>10</v>
      </c>
      <c r="D69">
        <v>22</v>
      </c>
    </row>
    <row r="70" spans="1:4" x14ac:dyDescent="0.3">
      <c r="A70" s="5">
        <v>29</v>
      </c>
      <c r="B70">
        <v>11</v>
      </c>
      <c r="C70">
        <v>5</v>
      </c>
      <c r="D70">
        <v>16</v>
      </c>
    </row>
    <row r="71" spans="1:4" x14ac:dyDescent="0.3">
      <c r="A71" s="5">
        <v>30</v>
      </c>
      <c r="B71">
        <v>23</v>
      </c>
      <c r="C71">
        <v>4</v>
      </c>
      <c r="D71">
        <v>27</v>
      </c>
    </row>
    <row r="72" spans="1:4" x14ac:dyDescent="0.3">
      <c r="A72" s="5">
        <v>31</v>
      </c>
      <c r="B72">
        <v>17</v>
      </c>
      <c r="C72">
        <v>8</v>
      </c>
      <c r="D72">
        <v>25</v>
      </c>
    </row>
    <row r="73" spans="1:4" x14ac:dyDescent="0.3">
      <c r="A73" s="5">
        <v>32</v>
      </c>
      <c r="B73">
        <v>19</v>
      </c>
      <c r="C73">
        <v>14</v>
      </c>
      <c r="D73">
        <v>33</v>
      </c>
    </row>
    <row r="74" spans="1:4" x14ac:dyDescent="0.3">
      <c r="A74" s="5">
        <v>33</v>
      </c>
      <c r="B74">
        <v>8</v>
      </c>
      <c r="C74">
        <v>13</v>
      </c>
      <c r="D74">
        <v>21</v>
      </c>
    </row>
    <row r="75" spans="1:4" x14ac:dyDescent="0.3">
      <c r="A75" s="5">
        <v>34</v>
      </c>
      <c r="B75">
        <v>12</v>
      </c>
      <c r="C75">
        <v>19</v>
      </c>
      <c r="D75">
        <v>31</v>
      </c>
    </row>
    <row r="76" spans="1:4" x14ac:dyDescent="0.3">
      <c r="A76" s="5">
        <v>35</v>
      </c>
      <c r="B76">
        <v>14</v>
      </c>
      <c r="C76">
        <v>22</v>
      </c>
      <c r="D76">
        <v>36</v>
      </c>
    </row>
    <row r="77" spans="1:4" x14ac:dyDescent="0.3">
      <c r="A77" s="5">
        <v>36</v>
      </c>
      <c r="B77">
        <v>7</v>
      </c>
      <c r="C77">
        <v>30</v>
      </c>
      <c r="D77">
        <v>37</v>
      </c>
    </row>
    <row r="78" spans="1:4" x14ac:dyDescent="0.3">
      <c r="A78" s="5">
        <v>37</v>
      </c>
      <c r="B78">
        <v>4</v>
      </c>
      <c r="C78">
        <v>28</v>
      </c>
      <c r="D78">
        <v>32</v>
      </c>
    </row>
    <row r="79" spans="1:4" x14ac:dyDescent="0.3">
      <c r="A79" s="5">
        <v>38</v>
      </c>
      <c r="B79">
        <v>8</v>
      </c>
      <c r="C79">
        <v>29</v>
      </c>
      <c r="D79">
        <v>37</v>
      </c>
    </row>
    <row r="80" spans="1:4" x14ac:dyDescent="0.3">
      <c r="A80" s="5">
        <v>39</v>
      </c>
      <c r="B80">
        <v>10</v>
      </c>
      <c r="C80">
        <v>12</v>
      </c>
      <c r="D80">
        <v>22</v>
      </c>
    </row>
    <row r="81" spans="1:4" x14ac:dyDescent="0.3">
      <c r="A81" s="5">
        <v>40</v>
      </c>
      <c r="B81">
        <v>24</v>
      </c>
      <c r="C81">
        <v>18</v>
      </c>
      <c r="D81">
        <v>42</v>
      </c>
    </row>
    <row r="82" spans="1:4" x14ac:dyDescent="0.3">
      <c r="A82" s="5">
        <v>41</v>
      </c>
      <c r="B82">
        <v>13</v>
      </c>
      <c r="C82">
        <v>15</v>
      </c>
      <c r="D82">
        <v>28</v>
      </c>
    </row>
    <row r="83" spans="1:4" x14ac:dyDescent="0.3">
      <c r="A83" s="5">
        <v>42</v>
      </c>
      <c r="B83">
        <v>22</v>
      </c>
      <c r="C83">
        <v>12</v>
      </c>
      <c r="D83">
        <v>34</v>
      </c>
    </row>
    <row r="84" spans="1:4" x14ac:dyDescent="0.3">
      <c r="A84" s="5">
        <v>43</v>
      </c>
      <c r="B84">
        <v>17</v>
      </c>
      <c r="C84">
        <v>19</v>
      </c>
      <c r="D84">
        <v>36</v>
      </c>
    </row>
    <row r="85" spans="1:4" x14ac:dyDescent="0.3">
      <c r="A85" s="5">
        <v>44</v>
      </c>
      <c r="B85">
        <v>15</v>
      </c>
      <c r="C85">
        <v>12</v>
      </c>
      <c r="D85">
        <v>27</v>
      </c>
    </row>
    <row r="86" spans="1:4" x14ac:dyDescent="0.3">
      <c r="A86" s="5">
        <v>45</v>
      </c>
      <c r="B86">
        <v>18</v>
      </c>
      <c r="C86">
        <v>13</v>
      </c>
      <c r="D86">
        <v>31</v>
      </c>
    </row>
    <row r="87" spans="1:4" x14ac:dyDescent="0.3">
      <c r="A87" s="5">
        <v>46</v>
      </c>
      <c r="B87">
        <v>12</v>
      </c>
      <c r="C87">
        <v>15</v>
      </c>
      <c r="D87">
        <v>27</v>
      </c>
    </row>
    <row r="88" spans="1:4" x14ac:dyDescent="0.3">
      <c r="A88" s="5">
        <v>47</v>
      </c>
      <c r="B88">
        <v>19</v>
      </c>
      <c r="C88">
        <v>20</v>
      </c>
      <c r="D88">
        <v>39</v>
      </c>
    </row>
    <row r="89" spans="1:4" x14ac:dyDescent="0.3">
      <c r="A89" s="5">
        <v>48</v>
      </c>
      <c r="B89">
        <v>16</v>
      </c>
      <c r="C89">
        <v>13</v>
      </c>
      <c r="D89">
        <v>29</v>
      </c>
    </row>
    <row r="90" spans="1:4" x14ac:dyDescent="0.3">
      <c r="A90" s="5">
        <v>49</v>
      </c>
      <c r="B90">
        <v>15</v>
      </c>
      <c r="C90">
        <v>8</v>
      </c>
      <c r="D90">
        <v>23</v>
      </c>
    </row>
    <row r="91" spans="1:4" x14ac:dyDescent="0.3">
      <c r="A91" s="5">
        <v>50</v>
      </c>
      <c r="B91">
        <v>12</v>
      </c>
      <c r="C91">
        <v>12</v>
      </c>
      <c r="D91">
        <v>24</v>
      </c>
    </row>
    <row r="92" spans="1:4" x14ac:dyDescent="0.3">
      <c r="A92" s="5">
        <v>51</v>
      </c>
      <c r="B92">
        <v>10</v>
      </c>
      <c r="C92">
        <v>12</v>
      </c>
      <c r="D92">
        <v>22</v>
      </c>
    </row>
    <row r="93" spans="1:4" x14ac:dyDescent="0.3">
      <c r="A93" s="5">
        <v>52</v>
      </c>
      <c r="B93">
        <v>10</v>
      </c>
      <c r="C93">
        <v>15</v>
      </c>
      <c r="D93">
        <v>25</v>
      </c>
    </row>
    <row r="94" spans="1:4" x14ac:dyDescent="0.3">
      <c r="A94" s="5">
        <v>53</v>
      </c>
      <c r="B94">
        <v>11</v>
      </c>
      <c r="C94">
        <v>13</v>
      </c>
      <c r="D94">
        <v>24</v>
      </c>
    </row>
    <row r="95" spans="1:4" x14ac:dyDescent="0.3">
      <c r="A95" s="5">
        <v>54</v>
      </c>
      <c r="B95">
        <v>5</v>
      </c>
      <c r="C95">
        <v>11</v>
      </c>
      <c r="D95">
        <v>16</v>
      </c>
    </row>
    <row r="96" spans="1:4" x14ac:dyDescent="0.3">
      <c r="A96" s="5">
        <v>55</v>
      </c>
      <c r="B96">
        <v>13</v>
      </c>
      <c r="C96">
        <v>5</v>
      </c>
      <c r="D96">
        <v>18</v>
      </c>
    </row>
    <row r="97" spans="1:4" x14ac:dyDescent="0.3">
      <c r="A97" s="5">
        <v>56</v>
      </c>
      <c r="B97">
        <v>13</v>
      </c>
      <c r="C97">
        <v>3</v>
      </c>
      <c r="D97">
        <v>16</v>
      </c>
    </row>
    <row r="98" spans="1:4" x14ac:dyDescent="0.3">
      <c r="A98" s="5">
        <v>57</v>
      </c>
      <c r="B98">
        <v>4</v>
      </c>
      <c r="C98">
        <v>4</v>
      </c>
      <c r="D98">
        <v>8</v>
      </c>
    </row>
    <row r="99" spans="1:4" x14ac:dyDescent="0.3">
      <c r="A99" s="5">
        <v>58</v>
      </c>
      <c r="B99">
        <v>8</v>
      </c>
      <c r="C99">
        <v>4</v>
      </c>
      <c r="D99">
        <v>12</v>
      </c>
    </row>
    <row r="100" spans="1:4" x14ac:dyDescent="0.3">
      <c r="A100" s="5">
        <v>59</v>
      </c>
      <c r="B100">
        <v>14</v>
      </c>
      <c r="C100">
        <v>6</v>
      </c>
      <c r="D100">
        <v>20</v>
      </c>
    </row>
    <row r="101" spans="1:4" x14ac:dyDescent="0.3">
      <c r="A101" s="5">
        <v>60</v>
      </c>
      <c r="B101">
        <v>8</v>
      </c>
      <c r="C101">
        <v>7</v>
      </c>
      <c r="D101">
        <v>15</v>
      </c>
    </row>
    <row r="102" spans="1:4" x14ac:dyDescent="0.3">
      <c r="A102" s="5">
        <v>61</v>
      </c>
      <c r="B102">
        <v>5</v>
      </c>
      <c r="C102">
        <v>4</v>
      </c>
      <c r="D102">
        <v>9</v>
      </c>
    </row>
    <row r="103" spans="1:4" x14ac:dyDescent="0.3">
      <c r="A103" s="5">
        <v>62</v>
      </c>
      <c r="B103">
        <v>9</v>
      </c>
      <c r="C103">
        <v>4</v>
      </c>
      <c r="D103">
        <v>13</v>
      </c>
    </row>
    <row r="104" spans="1:4" x14ac:dyDescent="0.3">
      <c r="A104" s="5">
        <v>63</v>
      </c>
      <c r="B104">
        <v>7</v>
      </c>
      <c r="C104">
        <v>2</v>
      </c>
      <c r="D104">
        <v>9</v>
      </c>
    </row>
    <row r="105" spans="1:4" x14ac:dyDescent="0.3">
      <c r="A105" s="5">
        <v>64</v>
      </c>
      <c r="B105">
        <v>7</v>
      </c>
      <c r="C105">
        <v>3</v>
      </c>
      <c r="D105">
        <v>10</v>
      </c>
    </row>
    <row r="106" spans="1:4" x14ac:dyDescent="0.3">
      <c r="A106" s="5">
        <v>65</v>
      </c>
      <c r="B106">
        <v>6</v>
      </c>
      <c r="C106">
        <v>3</v>
      </c>
      <c r="D106">
        <v>9</v>
      </c>
    </row>
    <row r="107" spans="1:4" x14ac:dyDescent="0.3">
      <c r="A107" s="5">
        <v>66</v>
      </c>
      <c r="B107">
        <v>8</v>
      </c>
      <c r="C107">
        <v>6</v>
      </c>
      <c r="D107">
        <v>14</v>
      </c>
    </row>
    <row r="108" spans="1:4" x14ac:dyDescent="0.3">
      <c r="A108" s="5">
        <v>67</v>
      </c>
      <c r="B108">
        <v>8</v>
      </c>
      <c r="C108">
        <v>2</v>
      </c>
      <c r="D108">
        <v>10</v>
      </c>
    </row>
    <row r="109" spans="1:4" x14ac:dyDescent="0.3">
      <c r="A109" s="5">
        <v>68</v>
      </c>
      <c r="B109">
        <v>3</v>
      </c>
      <c r="D109">
        <v>3</v>
      </c>
    </row>
    <row r="110" spans="1:4" x14ac:dyDescent="0.3">
      <c r="A110" s="5">
        <v>69</v>
      </c>
      <c r="B110">
        <v>8</v>
      </c>
      <c r="D110">
        <v>8</v>
      </c>
    </row>
    <row r="111" spans="1:4" x14ac:dyDescent="0.3">
      <c r="A111" s="5">
        <v>70</v>
      </c>
      <c r="B111">
        <v>3</v>
      </c>
      <c r="C111">
        <v>1</v>
      </c>
      <c r="D111">
        <v>4</v>
      </c>
    </row>
    <row r="112" spans="1:4" x14ac:dyDescent="0.3">
      <c r="A112" s="5">
        <v>71</v>
      </c>
      <c r="B112">
        <v>1</v>
      </c>
      <c r="D112">
        <v>1</v>
      </c>
    </row>
    <row r="113" spans="1:4" x14ac:dyDescent="0.3">
      <c r="A113" s="5">
        <v>72</v>
      </c>
      <c r="C113">
        <v>1</v>
      </c>
      <c r="D113">
        <v>1</v>
      </c>
    </row>
    <row r="114" spans="1:4" x14ac:dyDescent="0.3">
      <c r="A114" s="5">
        <v>73</v>
      </c>
      <c r="B114">
        <v>2</v>
      </c>
      <c r="C114">
        <v>2</v>
      </c>
      <c r="D114">
        <v>4</v>
      </c>
    </row>
    <row r="115" spans="1:4" x14ac:dyDescent="0.3">
      <c r="A115" s="5">
        <v>74</v>
      </c>
      <c r="C115">
        <v>1</v>
      </c>
      <c r="D115">
        <v>1</v>
      </c>
    </row>
    <row r="116" spans="1:4" x14ac:dyDescent="0.3">
      <c r="A116" s="5">
        <v>78</v>
      </c>
      <c r="B116">
        <v>1</v>
      </c>
      <c r="C116">
        <v>1</v>
      </c>
      <c r="D116">
        <v>2</v>
      </c>
    </row>
    <row r="117" spans="1:4" x14ac:dyDescent="0.3">
      <c r="A117" s="5">
        <v>80</v>
      </c>
      <c r="B117">
        <v>1</v>
      </c>
      <c r="D117">
        <v>1</v>
      </c>
    </row>
    <row r="118" spans="1:4" x14ac:dyDescent="0.3">
      <c r="A118" s="5">
        <v>89</v>
      </c>
      <c r="B118">
        <v>1</v>
      </c>
      <c r="D118">
        <v>1</v>
      </c>
    </row>
    <row r="119" spans="1:4" x14ac:dyDescent="0.3">
      <c r="A119" s="5" t="s">
        <v>43</v>
      </c>
      <c r="B119">
        <v>519</v>
      </c>
      <c r="C119">
        <v>481</v>
      </c>
      <c r="D119">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76E18-6155-4E81-B5A7-87284C7203A4}">
  <dimension ref="A1:P5"/>
  <sheetViews>
    <sheetView showGridLines="0" topLeftCell="A4" workbookViewId="0">
      <selection activeCell="T20" sqref="T20"/>
    </sheetView>
  </sheetViews>
  <sheetFormatPr defaultRowHeight="14.4" x14ac:dyDescent="0.3"/>
  <sheetData>
    <row r="1" spans="1:16" x14ac:dyDescent="0.3">
      <c r="A1" s="9" t="s">
        <v>51</v>
      </c>
      <c r="B1" s="10"/>
      <c r="C1" s="10"/>
      <c r="D1" s="10"/>
      <c r="E1" s="10"/>
      <c r="F1" s="10"/>
      <c r="G1" s="10"/>
      <c r="H1" s="10"/>
      <c r="I1" s="10"/>
      <c r="J1" s="10"/>
      <c r="K1" s="10"/>
      <c r="L1" s="10"/>
      <c r="M1" s="10"/>
      <c r="N1" s="10"/>
      <c r="O1" s="10"/>
      <c r="P1" s="10"/>
    </row>
    <row r="2" spans="1:16" x14ac:dyDescent="0.3">
      <c r="A2" s="10"/>
      <c r="B2" s="10"/>
      <c r="C2" s="10"/>
      <c r="D2" s="10"/>
      <c r="E2" s="10"/>
      <c r="F2" s="10"/>
      <c r="G2" s="10"/>
      <c r="H2" s="10"/>
      <c r="I2" s="10"/>
      <c r="J2" s="10"/>
      <c r="K2" s="10"/>
      <c r="L2" s="10"/>
      <c r="M2" s="10"/>
      <c r="N2" s="10"/>
      <c r="O2" s="10"/>
      <c r="P2" s="10"/>
    </row>
    <row r="3" spans="1:16" x14ac:dyDescent="0.3">
      <c r="A3" s="10"/>
      <c r="B3" s="10"/>
      <c r="C3" s="10"/>
      <c r="D3" s="10"/>
      <c r="E3" s="10"/>
      <c r="F3" s="10"/>
      <c r="G3" s="10"/>
      <c r="H3" s="10"/>
      <c r="I3" s="10"/>
      <c r="J3" s="10"/>
      <c r="K3" s="10"/>
      <c r="L3" s="10"/>
      <c r="M3" s="10"/>
      <c r="N3" s="10"/>
      <c r="O3" s="10"/>
      <c r="P3" s="10"/>
    </row>
    <row r="4" spans="1:16" x14ac:dyDescent="0.3">
      <c r="A4" s="10"/>
      <c r="B4" s="10"/>
      <c r="C4" s="10"/>
      <c r="D4" s="10"/>
      <c r="E4" s="10"/>
      <c r="F4" s="10"/>
      <c r="G4" s="10"/>
      <c r="H4" s="10"/>
      <c r="I4" s="10"/>
      <c r="J4" s="10"/>
      <c r="K4" s="10"/>
      <c r="L4" s="10"/>
      <c r="M4" s="10"/>
      <c r="N4" s="10"/>
      <c r="O4" s="10"/>
      <c r="P4" s="10"/>
    </row>
    <row r="5" spans="1:16" x14ac:dyDescent="0.3">
      <c r="A5" s="10"/>
      <c r="B5" s="10"/>
      <c r="C5" s="10"/>
      <c r="D5" s="10"/>
      <c r="E5" s="10"/>
      <c r="F5" s="10"/>
      <c r="G5" s="10"/>
      <c r="H5" s="10"/>
      <c r="I5" s="10"/>
      <c r="J5" s="10"/>
      <c r="K5" s="10"/>
      <c r="L5" s="10"/>
      <c r="M5" s="10"/>
      <c r="N5" s="10"/>
      <c r="O5" s="10"/>
      <c r="P5" s="10"/>
    </row>
  </sheetData>
  <mergeCells count="1">
    <mergeCell ref="A1:P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Umamaheshwar Reddy</cp:lastModifiedBy>
  <dcterms:created xsi:type="dcterms:W3CDTF">2022-03-18T02:50:57Z</dcterms:created>
  <dcterms:modified xsi:type="dcterms:W3CDTF">2026-09-21T09:50:22Z</dcterms:modified>
</cp:coreProperties>
</file>